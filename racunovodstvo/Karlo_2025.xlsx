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čunovodstvo\karlo\"/>
    </mc:Choice>
  </mc:AlternateContent>
  <xr:revisionPtr revIDLastSave="0" documentId="13_ncr:1_{155A2F57-9789-4489-B4EA-B2E893D50419}" xr6:coauthVersionLast="47" xr6:coauthVersionMax="47" xr10:uidLastSave="{00000000-0000-0000-0000-000000000000}"/>
  <bookViews>
    <workbookView xWindow="-108" yWindow="-108" windowWidth="23256" windowHeight="12456" activeTab="3" xr2:uid="{481674B9-B7C3-42FE-94ED-D77A3D69FBD6}"/>
  </bookViews>
  <sheets>
    <sheet name="Pivot" sheetId="2" r:id="rId1"/>
    <sheet name="Dnevnik knjiženja" sheetId="1" r:id="rId2"/>
    <sheet name="Početno stanje" sheetId="5" r:id="rId3"/>
    <sheet name="Bruto bilanca" sheetId="6" r:id="rId4"/>
    <sheet name="Bilanca" sheetId="4" r:id="rId5"/>
    <sheet name="RDG" sheetId="3" r:id="rId6"/>
  </sheets>
  <definedNames>
    <definedName name="_xlnm._FilterDatabase" localSheetId="3" hidden="1">'Bruto bilanca'!$A$1:$F$13</definedName>
    <definedName name="_xlnm._FilterDatabase" localSheetId="1" hidden="1">'Dnevnik knjiženja'!$A$1:$J$174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2" i="6"/>
  <c r="C3" i="6"/>
  <c r="C4" i="6"/>
  <c r="C5" i="6"/>
  <c r="C6" i="6"/>
  <c r="C7" i="6"/>
  <c r="C8" i="6"/>
  <c r="C9" i="6"/>
  <c r="C10" i="6"/>
  <c r="C11" i="6"/>
  <c r="C12" i="6"/>
  <c r="C13" i="6"/>
  <c r="C2" i="6"/>
  <c r="J131" i="4"/>
  <c r="J45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8" i="1"/>
  <c r="J169" i="1"/>
  <c r="J170" i="1"/>
  <c r="J171" i="1"/>
  <c r="J172" i="1"/>
  <c r="J173" i="1"/>
  <c r="J2" i="1"/>
  <c r="J174" i="1" l="1"/>
</calcChain>
</file>

<file path=xl/sharedStrings.xml><?xml version="1.0" encoding="utf-8"?>
<sst xmlns="http://schemas.openxmlformats.org/spreadsheetml/2006/main" count="2157" uniqueCount="163">
  <si>
    <t>Datum</t>
  </si>
  <si>
    <t>Vrsta dokumenta</t>
  </si>
  <si>
    <t>Stranka</t>
  </si>
  <si>
    <t>Opis</t>
  </si>
  <si>
    <t>Dokument</t>
  </si>
  <si>
    <t>Konto</t>
  </si>
  <si>
    <t>Naziv konta</t>
  </si>
  <si>
    <t>Duguje</t>
  </si>
  <si>
    <t>Potražuje</t>
  </si>
  <si>
    <t>saldo</t>
  </si>
  <si>
    <t>URA</t>
  </si>
  <si>
    <t>trošak</t>
  </si>
  <si>
    <t>Račun za bankarske usluge</t>
  </si>
  <si>
    <t>2340-02256080463</t>
  </si>
  <si>
    <t>4650</t>
  </si>
  <si>
    <t>Troškovi platnog prometa</t>
  </si>
  <si>
    <t>Privredna banka Zagreb d.d.</t>
  </si>
  <si>
    <t>Obveza po računu</t>
  </si>
  <si>
    <t>2200</t>
  </si>
  <si>
    <t>Dobavljači u zemlji</t>
  </si>
  <si>
    <t>2340-04256984933</t>
  </si>
  <si>
    <t>2340-06257880807</t>
  </si>
  <si>
    <t>2340-08258779338</t>
  </si>
  <si>
    <t>IZVOD</t>
  </si>
  <si>
    <t>Plaćanje računa 2340-02256080463</t>
  </si>
  <si>
    <t>Izvod</t>
  </si>
  <si>
    <t>ŽR</t>
  </si>
  <si>
    <t>Odljev sa žiro-računa</t>
  </si>
  <si>
    <t>1000</t>
  </si>
  <si>
    <t>Žiro račun</t>
  </si>
  <si>
    <t>Plaćanje računa 2340-04256984933</t>
  </si>
  <si>
    <t>Plaćanje računa 2340-06257880807</t>
  </si>
  <si>
    <t>Njuškalo d.o.o.</t>
  </si>
  <si>
    <t>Plaćanje računa 128176-NUKA-3</t>
  </si>
  <si>
    <t>Račun za oglašavanje na njuskalo.hr</t>
  </si>
  <si>
    <t>128176-NUKA-3</t>
  </si>
  <si>
    <t>4100</t>
  </si>
  <si>
    <t>Troškovi usluga</t>
  </si>
  <si>
    <t>Plaćanje računa 2340-08258779338</t>
  </si>
  <si>
    <t>Priljev na žiro-račun</t>
  </si>
  <si>
    <t>Matija Lovasić</t>
  </si>
  <si>
    <t>Uplata kupca po računu 1/1/1-2025</t>
  </si>
  <si>
    <t>1200</t>
  </si>
  <si>
    <t>Kupci u zemlji</t>
  </si>
  <si>
    <t>Ravago Building Solutions Croatia d.o.o.</t>
  </si>
  <si>
    <t>Plaćanje računa 1297-011-1</t>
  </si>
  <si>
    <t>Račun za kupljenu robu</t>
  </si>
  <si>
    <t>1297-011-1</t>
  </si>
  <si>
    <t>4000</t>
  </si>
  <si>
    <t>Trošak nabavne vrijednosti robe</t>
  </si>
  <si>
    <t>IRA</t>
  </si>
  <si>
    <t>Potraživanje od kupca</t>
  </si>
  <si>
    <t>1/1/1-2025</t>
  </si>
  <si>
    <t>Prihod</t>
  </si>
  <si>
    <t>Račun za prodanu robu</t>
  </si>
  <si>
    <t>7600</t>
  </si>
  <si>
    <t>Prihodi od prodaje robe</t>
  </si>
  <si>
    <t>Trgovački obrt "MORLACCH", vl. Rudolf Koncilj</t>
  </si>
  <si>
    <t>Uplata kupca po računu 2/1/2-2025</t>
  </si>
  <si>
    <t>Plaćanje računa 1360-011-1</t>
  </si>
  <si>
    <t>1360-011-1</t>
  </si>
  <si>
    <t>2/1/2-2025</t>
  </si>
  <si>
    <t>2340-10259677000</t>
  </si>
  <si>
    <t>Plaćanje računa 2340-10259677000</t>
  </si>
  <si>
    <t>1558-011-1</t>
  </si>
  <si>
    <t>Plaćanje računa 1558-011-1</t>
  </si>
  <si>
    <t>KARLO FANTONI</t>
  </si>
  <si>
    <t>3/1/1-2025</t>
  </si>
  <si>
    <t>Uplata kupca po računu 3/1/1-2025</t>
  </si>
  <si>
    <t>2340-12250583714</t>
  </si>
  <si>
    <t>1763-011-1</t>
  </si>
  <si>
    <t>AUTOMATIC FIRE PROTECTION d.o.o.</t>
  </si>
  <si>
    <t>4/1/1-2025</t>
  </si>
  <si>
    <t>Uplata kupca po računu 4/1/1-2025</t>
  </si>
  <si>
    <t>Plaćanje računa 1763-011-1</t>
  </si>
  <si>
    <t>Plaćanje računa 2340-12250583714</t>
  </si>
  <si>
    <t>2340-14251494458</t>
  </si>
  <si>
    <t>Plaćanje računa 2340-14251494458</t>
  </si>
  <si>
    <t>FRANJO REMENAR</t>
  </si>
  <si>
    <t>Uplata kupca po računu 5/1/1-2025</t>
  </si>
  <si>
    <t>2137-011-1</t>
  </si>
  <si>
    <t>5/1/1-2025</t>
  </si>
  <si>
    <t>Plaćanje računa 2137-011-1</t>
  </si>
  <si>
    <t>2340-16252397024</t>
  </si>
  <si>
    <t>Plaćanje računa 243229-NUKA-3</t>
  </si>
  <si>
    <t>243229-NUKA-3</t>
  </si>
  <si>
    <t>2272-011-1</t>
  </si>
  <si>
    <t>Uplata kupca po računu 6/1/1-2025</t>
  </si>
  <si>
    <t>6/1/1-2025</t>
  </si>
  <si>
    <t>Plaćanje računa 2272-011-1</t>
  </si>
  <si>
    <t>Plaćanje računa 2340-16252397024</t>
  </si>
  <si>
    <t>DRAŽEN PAVLOV</t>
  </si>
  <si>
    <t>Uplata kupca po računu 9/1/1-2025</t>
  </si>
  <si>
    <t>STREK METALI D.O.O.</t>
  </si>
  <si>
    <t>Plaćanje računa 95/04/10</t>
  </si>
  <si>
    <t>Plaćanje računa 1233/04/4</t>
  </si>
  <si>
    <t>Plaćanje računa 3147/04/3</t>
  </si>
  <si>
    <t>MIHAEL MELNJAK</t>
  </si>
  <si>
    <t>Uplata kupca po računu 7/1/1-2025</t>
  </si>
  <si>
    <t>2453-011-1</t>
  </si>
  <si>
    <t>7/1/1-2025</t>
  </si>
  <si>
    <t>2340-18253299028</t>
  </si>
  <si>
    <t>Plaćanje računa 2453-011-1</t>
  </si>
  <si>
    <t>Plaćanje računa 2340-18253299028</t>
  </si>
  <si>
    <t>2691-011-1</t>
  </si>
  <si>
    <t>95/04/10</t>
  </si>
  <si>
    <t>1233/04/4</t>
  </si>
  <si>
    <t>3147/04/3</t>
  </si>
  <si>
    <t>MATIJA LOVASIĆ</t>
  </si>
  <si>
    <t>Uplata kupca po računu 8/1/1-2025</t>
  </si>
  <si>
    <t>8/1/1-2025</t>
  </si>
  <si>
    <t>Plaćanje računa 2691-011-1</t>
  </si>
  <si>
    <t>9/1/1-2025</t>
  </si>
  <si>
    <t>Plaćanje računa 1275/04/4</t>
  </si>
  <si>
    <t>Račun za slanje paketa</t>
  </si>
  <si>
    <t>247111/2/1</t>
  </si>
  <si>
    <t>General Logistics Systems Croatia d.o.o.</t>
  </si>
  <si>
    <t>1275/04/4</t>
  </si>
  <si>
    <t>Uplata kupca po računu 10/1/1-2025</t>
  </si>
  <si>
    <t>Plaćanje računa 247111/2/1</t>
  </si>
  <si>
    <t>10/1/1-2025</t>
  </si>
  <si>
    <t>2340-20254216994</t>
  </si>
  <si>
    <t>Plaćanje računa 2340-20254216994</t>
  </si>
  <si>
    <t>3108-011-1</t>
  </si>
  <si>
    <t>KARLO TOMIEK</t>
  </si>
  <si>
    <t>Uplata kupca po računu 11/1/1-2025</t>
  </si>
  <si>
    <t>11/1/1-2025</t>
  </si>
  <si>
    <t>Plaćanje računa 3108-011-1</t>
  </si>
  <si>
    <t>Račun za javnobiježničke usluge</t>
  </si>
  <si>
    <t>12394/GP/1</t>
  </si>
  <si>
    <t>Javni bilježnik Maja Peris</t>
  </si>
  <si>
    <t>Plaćanje računa 12394/GP/1</t>
  </si>
  <si>
    <t>Sudska pristojba - trošak promjene u j.d.o.o. 2lmf pro</t>
  </si>
  <si>
    <t>4690</t>
  </si>
  <si>
    <t>Ostali troškovi poslovanja</t>
  </si>
  <si>
    <t>DRŽAVNI PRORAČUN RH</t>
  </si>
  <si>
    <t xml:space="preserve">Plaćanje računa </t>
  </si>
  <si>
    <t>2340-22255132265</t>
  </si>
  <si>
    <t>Plaćanje računa 2340-22255132265</t>
  </si>
  <si>
    <t>2340-24256057978</t>
  </si>
  <si>
    <t>PS</t>
  </si>
  <si>
    <t>PS-ŽR</t>
  </si>
  <si>
    <t>01/012025</t>
  </si>
  <si>
    <t>Pozajmice</t>
  </si>
  <si>
    <t>PS-Pozajmica</t>
  </si>
  <si>
    <t>2134</t>
  </si>
  <si>
    <t>Pozajmica</t>
  </si>
  <si>
    <t>temeljni kapital</t>
  </si>
  <si>
    <t>PS-temeljni kapital</t>
  </si>
  <si>
    <t>9000</t>
  </si>
  <si>
    <t>preneseni gubitci</t>
  </si>
  <si>
    <t>PS-preneseni gubitci</t>
  </si>
  <si>
    <t>9400</t>
  </si>
  <si>
    <t>uplata pozajmice</t>
  </si>
  <si>
    <t>Bankarska naknada</t>
  </si>
  <si>
    <t>Prihod kamate</t>
  </si>
  <si>
    <t>7710</t>
  </si>
  <si>
    <t>Row Labels</t>
  </si>
  <si>
    <t>Grand Total</t>
  </si>
  <si>
    <t>Sum of Duguje</t>
  </si>
  <si>
    <t>Sum of Potražuje</t>
  </si>
  <si>
    <t>(Multiple Items)</t>
  </si>
  <si>
    <t>Rezultat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</si>
</sst>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latka Ancic Botica" refreshedDate="46040.607537037038" createdVersion="8" refreshedVersion="8" minRefreshableVersion="3" recordCount="172" xr:uid="{7B625998-5143-4D4F-8A8F-5E4135CF8810}">
  <cacheSource type="worksheet">
    <worksheetSource ref="A1:J173" sheet="Dnevnik knjiženja"/>
  </cacheSource>
  <cacheFields count="10">
    <cacheField name="Datum" numFmtId="14">
      <sharedItems containsDate="1" containsMixedTypes="1" minDate="2025-01-01T00:00:00" maxDate="2026-01-01T00:00:00"/>
    </cacheField>
    <cacheField name="Vrsta dokumenta" numFmtId="0">
      <sharedItems count="4">
        <s v="URA"/>
        <s v="IZVOD"/>
        <s v="IRA"/>
        <s v="PS"/>
      </sharedItems>
    </cacheField>
    <cacheField name="Stranka" numFmtId="0">
      <sharedItems count="22">
        <s v="trošak"/>
        <s v="Privredna banka Zagreb d.d."/>
        <s v="ŽR"/>
        <s v="Njuškalo d.o.o."/>
        <s v="Matija Lovasić"/>
        <s v="Ravago Building Solutions Croatia d.o.o."/>
        <s v="Prihod"/>
        <s v="Trgovački obrt &quot;MORLACCH&quot;, vl. Rudolf Koncilj"/>
        <s v="KARLO FANTONI"/>
        <s v="AUTOMATIC FIRE PROTECTION d.o.o."/>
        <s v="FRANJO REMENAR"/>
        <s v="DRAŽEN PAVLOV"/>
        <s v="STREK METALI D.O.O."/>
        <s v="MIHAEL MELNJAK"/>
        <s v="General Logistics Systems Croatia d.o.o."/>
        <s v="KARLO TOMIEK"/>
        <s v="Javni bilježnik Maja Peris"/>
        <s v="DRŽAVNI PRORAČUN RH"/>
        <s v="Pozajmice"/>
        <s v="temeljni kapital"/>
        <s v="preneseni gubitci"/>
        <s v="Prihod kamate"/>
      </sharedItems>
    </cacheField>
    <cacheField name="Opis" numFmtId="0">
      <sharedItems/>
    </cacheField>
    <cacheField name="Dokument" numFmtId="0">
      <sharedItems containsBlank="1"/>
    </cacheField>
    <cacheField name="Konto" numFmtId="49">
      <sharedItems count="12">
        <s v="4650"/>
        <s v="2200"/>
        <s v="1000"/>
        <s v="4100"/>
        <s v="1200"/>
        <s v="4000"/>
        <s v="7600"/>
        <s v="4690"/>
        <s v="2134"/>
        <s v="9000"/>
        <s v="9400"/>
        <s v="7710"/>
      </sharedItems>
    </cacheField>
    <cacheField name="Naziv konta" numFmtId="0">
      <sharedItems/>
    </cacheField>
    <cacheField name="Duguje" numFmtId="0">
      <sharedItems containsSemiMixedTypes="0" containsString="0" containsNumber="1" minValue="0" maxValue="8360.86"/>
    </cacheField>
    <cacheField name="Potražuje" numFmtId="0">
      <sharedItems containsSemiMixedTypes="0" containsString="0" containsNumber="1" minValue="0" maxValue="8360.86"/>
    </cacheField>
    <cacheField name="saldo" numFmtId="0">
      <sharedItems containsSemiMixedTypes="0" containsString="0" containsNumber="1" minValue="-8360.86" maxValue="8360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d v="2025-01-31T00:00:00"/>
    <x v="0"/>
    <x v="0"/>
    <s v="Račun za bankarske usluge"/>
    <s v="2340-02256080463"/>
    <x v="0"/>
    <s v="Troškovi platnog prometa"/>
    <n v="11.11"/>
    <n v="0"/>
    <n v="11.11"/>
  </r>
  <r>
    <d v="2025-01-31T00:00:00"/>
    <x v="0"/>
    <x v="1"/>
    <s v="Obveza po računu"/>
    <s v="2340-02256080463"/>
    <x v="1"/>
    <s v="Dobavljači u zemlji"/>
    <n v="0"/>
    <n v="11.11"/>
    <n v="-11.11"/>
  </r>
  <r>
    <d v="2025-02-28T00:00:00"/>
    <x v="0"/>
    <x v="0"/>
    <s v="Račun za bankarske usluge"/>
    <s v="2340-04256984933"/>
    <x v="0"/>
    <s v="Troškovi platnog prometa"/>
    <n v="9.9499999999999993"/>
    <n v="0"/>
    <n v="9.9499999999999993"/>
  </r>
  <r>
    <d v="2025-02-28T00:00:00"/>
    <x v="0"/>
    <x v="1"/>
    <s v="Obveza po računu"/>
    <s v="2340-04256984933"/>
    <x v="1"/>
    <s v="Dobavljači u zemlji"/>
    <n v="0"/>
    <n v="9.9499999999999993"/>
    <n v="-9.9499999999999993"/>
  </r>
  <r>
    <d v="2025-03-31T00:00:00"/>
    <x v="0"/>
    <x v="0"/>
    <s v="Račun za bankarske usluge"/>
    <s v="2340-06257880807"/>
    <x v="0"/>
    <s v="Troškovi platnog prometa"/>
    <n v="9.9499999999999993"/>
    <n v="0"/>
    <n v="9.9499999999999993"/>
  </r>
  <r>
    <d v="2025-03-31T00:00:00"/>
    <x v="0"/>
    <x v="1"/>
    <s v="Obveza po računu"/>
    <s v="2340-06257880807"/>
    <x v="1"/>
    <s v="Dobavljači u zemlji"/>
    <n v="0"/>
    <n v="9.9499999999999993"/>
    <n v="-9.9499999999999993"/>
  </r>
  <r>
    <d v="2025-04-30T00:00:00"/>
    <x v="0"/>
    <x v="0"/>
    <s v="Račun za bankarske usluge"/>
    <s v="2340-08258779338"/>
    <x v="0"/>
    <s v="Troškovi platnog prometa"/>
    <n v="9.9499999999999993"/>
    <n v="0"/>
    <n v="9.9499999999999993"/>
  </r>
  <r>
    <d v="2025-04-30T00:00:00"/>
    <x v="0"/>
    <x v="1"/>
    <s v="Obveza po računu"/>
    <s v="2340-08258779338"/>
    <x v="1"/>
    <s v="Dobavljači u zemlji"/>
    <n v="0"/>
    <n v="9.9499999999999993"/>
    <n v="-9.9499999999999993"/>
  </r>
  <r>
    <d v="2025-05-07T00:00:00"/>
    <x v="1"/>
    <x v="1"/>
    <s v="Plaćanje računa 2340-02256080463"/>
    <s v="Izvod"/>
    <x v="1"/>
    <s v="Dobavljači u zemlji"/>
    <n v="11.11"/>
    <n v="0"/>
    <n v="11.11"/>
  </r>
  <r>
    <d v="2025-05-07T00:00:00"/>
    <x v="1"/>
    <x v="2"/>
    <s v="Odljev sa žiro-računa"/>
    <s v="Izvod"/>
    <x v="2"/>
    <s v="Žiro račun"/>
    <n v="0"/>
    <n v="11.11"/>
    <n v="-11.11"/>
  </r>
  <r>
    <d v="2025-05-07T00:00:00"/>
    <x v="1"/>
    <x v="1"/>
    <s v="Plaćanje računa 2340-04256984933"/>
    <s v="Izvod"/>
    <x v="1"/>
    <s v="Dobavljači u zemlji"/>
    <n v="9.9499999999999993"/>
    <n v="0"/>
    <n v="9.9499999999999993"/>
  </r>
  <r>
    <d v="2025-05-07T00:00:00"/>
    <x v="1"/>
    <x v="2"/>
    <s v="Odljev sa žiro-računa"/>
    <s v="Izvod"/>
    <x v="2"/>
    <s v="Žiro račun"/>
    <n v="0"/>
    <n v="9.9499999999999993"/>
    <n v="-9.9499999999999993"/>
  </r>
  <r>
    <d v="2025-05-07T00:00:00"/>
    <x v="1"/>
    <x v="1"/>
    <s v="Plaćanje računa 2340-06257880807"/>
    <s v="Izvod"/>
    <x v="1"/>
    <s v="Dobavljači u zemlji"/>
    <n v="9.9499999999999993"/>
    <n v="0"/>
    <n v="9.9499999999999993"/>
  </r>
  <r>
    <d v="2025-05-07T00:00:00"/>
    <x v="1"/>
    <x v="2"/>
    <s v="Odljev sa žiro-računa"/>
    <s v="Izvod"/>
    <x v="2"/>
    <s v="Žiro račun"/>
    <n v="0"/>
    <n v="9.9499999999999993"/>
    <n v="-9.9499999999999993"/>
  </r>
  <r>
    <d v="2025-05-08T00:00:00"/>
    <x v="1"/>
    <x v="3"/>
    <s v="Plaćanje računa 128176-NUKA-3"/>
    <s v="Izvod"/>
    <x v="1"/>
    <s v="Dobavljači u zemlji"/>
    <n v="252"/>
    <n v="0"/>
    <n v="252"/>
  </r>
  <r>
    <d v="2025-05-08T00:00:00"/>
    <x v="1"/>
    <x v="2"/>
    <s v="Odljev sa žiro-računa"/>
    <s v="Izvod"/>
    <x v="2"/>
    <s v="Žiro račun"/>
    <n v="0"/>
    <n v="252"/>
    <n v="-252"/>
  </r>
  <r>
    <d v="2025-05-09T00:00:00"/>
    <x v="0"/>
    <x v="0"/>
    <s v="Račun za oglašavanje na njuskalo.hr"/>
    <s v="128176-NUKA-3"/>
    <x v="3"/>
    <s v="Troškovi usluga"/>
    <n v="252"/>
    <n v="0"/>
    <n v="252"/>
  </r>
  <r>
    <d v="2025-05-09T00:00:00"/>
    <x v="0"/>
    <x v="3"/>
    <s v="Obveza po računu"/>
    <s v="128176-NUKA-3"/>
    <x v="1"/>
    <s v="Dobavljači u zemlji"/>
    <n v="0"/>
    <n v="252"/>
    <n v="-252"/>
  </r>
  <r>
    <d v="2025-05-12T00:00:00"/>
    <x v="1"/>
    <x v="1"/>
    <s v="Plaćanje računa 2340-08258779338"/>
    <s v="Izvod"/>
    <x v="1"/>
    <s v="Dobavljači u zemlji"/>
    <n v="9.9499999999999993"/>
    <n v="0"/>
    <n v="9.9499999999999993"/>
  </r>
  <r>
    <d v="2025-05-12T00:00:00"/>
    <x v="1"/>
    <x v="2"/>
    <s v="Odljev sa žiro-računa"/>
    <s v="Izvod"/>
    <x v="2"/>
    <s v="Žiro račun"/>
    <n v="0"/>
    <n v="9.9499999999999993"/>
    <n v="-9.9499999999999993"/>
  </r>
  <r>
    <d v="2025-05-14T00:00:00"/>
    <x v="1"/>
    <x v="2"/>
    <s v="Priljev na žiro-račun"/>
    <s v="Izvod"/>
    <x v="2"/>
    <s v="Žiro račun"/>
    <n v="2045.2"/>
    <n v="0"/>
    <n v="2045.2"/>
  </r>
  <r>
    <d v="2025-05-14T00:00:00"/>
    <x v="1"/>
    <x v="4"/>
    <s v="Uplata kupca po računu 1/1/1-2025"/>
    <s v="Izvod"/>
    <x v="4"/>
    <s v="Kupci u zemlji"/>
    <n v="0"/>
    <n v="2045.2"/>
    <n v="-2045.2"/>
  </r>
  <r>
    <d v="2025-05-14T00:00:00"/>
    <x v="1"/>
    <x v="5"/>
    <s v="Plaćanje računa 1297-011-1"/>
    <s v="Izvod"/>
    <x v="1"/>
    <s v="Dobavljači u zemlji"/>
    <n v="1612"/>
    <n v="0"/>
    <n v="1612"/>
  </r>
  <r>
    <d v="2025-05-14T00:00:00"/>
    <x v="1"/>
    <x v="2"/>
    <s v="Odljev sa žiro-računa"/>
    <s v="Izvod"/>
    <x v="2"/>
    <s v="Žiro račun"/>
    <n v="0"/>
    <n v="1612"/>
    <n v="-1612"/>
  </r>
  <r>
    <d v="2025-05-15T00:00:00"/>
    <x v="0"/>
    <x v="0"/>
    <s v="Račun za kupljenu robu"/>
    <s v="1297-011-1"/>
    <x v="5"/>
    <s v="Trošak nabavne vrijednosti robe"/>
    <n v="1612"/>
    <n v="0"/>
    <n v="1612"/>
  </r>
  <r>
    <d v="2025-05-15T00:00:00"/>
    <x v="0"/>
    <x v="5"/>
    <s v="Obveza po računu"/>
    <s v="1297-011-1"/>
    <x v="1"/>
    <s v="Dobavljači u zemlji"/>
    <n v="0"/>
    <n v="1612"/>
    <n v="-1612"/>
  </r>
  <r>
    <d v="2025-05-15T00:00:00"/>
    <x v="2"/>
    <x v="4"/>
    <s v="Potraživanje od kupca"/>
    <s v="1/1/1-2025"/>
    <x v="4"/>
    <s v="Kupci u zemlji"/>
    <n v="2045.2"/>
    <n v="0"/>
    <n v="2045.2"/>
  </r>
  <r>
    <d v="2025-05-15T00:00:00"/>
    <x v="2"/>
    <x v="6"/>
    <s v="Račun za prodanu robu"/>
    <s v="1/1/1-2025"/>
    <x v="6"/>
    <s v="Prihodi od prodaje robe"/>
    <n v="0"/>
    <n v="2045.2"/>
    <n v="-2045.2"/>
  </r>
  <r>
    <d v="2025-05-21T00:00:00"/>
    <x v="1"/>
    <x v="2"/>
    <s v="Priljev na žiro-račun"/>
    <s v="Izvod"/>
    <x v="2"/>
    <s v="Žiro račun"/>
    <n v="114.97"/>
    <n v="0"/>
    <n v="114.97"/>
  </r>
  <r>
    <d v="2025-05-21T00:00:00"/>
    <x v="1"/>
    <x v="7"/>
    <s v="Uplata kupca po računu 2/1/2-2025"/>
    <s v="Izvod"/>
    <x v="4"/>
    <s v="Kupci u zemlji"/>
    <n v="0"/>
    <n v="114.97"/>
    <n v="-114.97"/>
  </r>
  <r>
    <d v="2025-05-21T00:00:00"/>
    <x v="1"/>
    <x v="5"/>
    <s v="Plaćanje računa 1360-011-1"/>
    <s v="Izvod"/>
    <x v="1"/>
    <s v="Dobavljači u zemlji"/>
    <n v="92.13"/>
    <n v="0"/>
    <n v="92.13"/>
  </r>
  <r>
    <d v="2025-05-21T00:00:00"/>
    <x v="1"/>
    <x v="2"/>
    <s v="Odljev sa žiro-računa"/>
    <s v="Izvod"/>
    <x v="2"/>
    <s v="Žiro račun"/>
    <n v="0"/>
    <n v="92.13"/>
    <n v="-92.13"/>
  </r>
  <r>
    <d v="2025-05-22T00:00:00"/>
    <x v="0"/>
    <x v="0"/>
    <s v="Račun za kupljenu robu"/>
    <s v="1360-011-1"/>
    <x v="5"/>
    <s v="Trošak nabavne vrijednosti robe"/>
    <n v="92.13"/>
    <n v="0"/>
    <n v="92.13"/>
  </r>
  <r>
    <d v="2025-05-22T00:00:00"/>
    <x v="0"/>
    <x v="5"/>
    <s v="Obveza po računu"/>
    <s v="1360-011-1"/>
    <x v="1"/>
    <s v="Dobavljači u zemlji"/>
    <n v="0"/>
    <n v="92.13"/>
    <n v="-92.13"/>
  </r>
  <r>
    <d v="2025-05-22T00:00:00"/>
    <x v="2"/>
    <x v="7"/>
    <s v="Potraživanje od kupca"/>
    <s v="2/1/2-2025"/>
    <x v="4"/>
    <s v="Kupci u zemlji"/>
    <n v="114.97"/>
    <n v="0"/>
    <n v="114.97"/>
  </r>
  <r>
    <d v="2025-05-22T00:00:00"/>
    <x v="2"/>
    <x v="6"/>
    <s v="Račun za prodanu robu"/>
    <s v="2/1/2-2025"/>
    <x v="6"/>
    <s v="Prihodi od prodaje robe"/>
    <n v="0"/>
    <n v="114.97"/>
    <n v="-114.97"/>
  </r>
  <r>
    <d v="2025-05-31T00:00:00"/>
    <x v="0"/>
    <x v="0"/>
    <s v="Račun za bankarske usluge"/>
    <s v="2340-10259677000"/>
    <x v="0"/>
    <s v="Troškovi platnog prometa"/>
    <n v="11.78"/>
    <n v="0"/>
    <n v="11.78"/>
  </r>
  <r>
    <d v="2025-05-31T00:00:00"/>
    <x v="0"/>
    <x v="1"/>
    <s v="Obveza po računu"/>
    <s v="2340-10259677000"/>
    <x v="1"/>
    <s v="Dobavljači u zemlji"/>
    <n v="0"/>
    <n v="11.78"/>
    <n v="-11.78"/>
  </r>
  <r>
    <d v="2025-06-10T00:00:00"/>
    <x v="1"/>
    <x v="1"/>
    <s v="Plaćanje računa 2340-10259677000"/>
    <s v="Izvod"/>
    <x v="1"/>
    <s v="Dobavljači u zemlji"/>
    <n v="11.78"/>
    <n v="0"/>
    <n v="11.78"/>
  </r>
  <r>
    <d v="2025-06-10T00:00:00"/>
    <x v="1"/>
    <x v="2"/>
    <s v="Odljev sa žiro-računa"/>
    <s v="Izvod"/>
    <x v="2"/>
    <s v="Žiro račun"/>
    <n v="0"/>
    <n v="11.78"/>
    <n v="-11.78"/>
  </r>
  <r>
    <d v="2025-06-13T00:00:00"/>
    <x v="0"/>
    <x v="0"/>
    <s v="Račun za kupljenu robu"/>
    <s v="1558-011-1"/>
    <x v="5"/>
    <s v="Trošak nabavne vrijednosti robe"/>
    <n v="57.81"/>
    <n v="0"/>
    <n v="57.81"/>
  </r>
  <r>
    <d v="2025-06-13T00:00:00"/>
    <x v="0"/>
    <x v="5"/>
    <s v="Obveza po računu"/>
    <s v="1558-011-1"/>
    <x v="1"/>
    <s v="Dobavljači u zemlji"/>
    <n v="0"/>
    <n v="57.81"/>
    <n v="-57.81"/>
  </r>
  <r>
    <d v="2025-06-16T00:00:00"/>
    <x v="1"/>
    <x v="5"/>
    <s v="Plaćanje računa 1558-011-1"/>
    <s v="Izvod"/>
    <x v="1"/>
    <s v="Dobavljači u zemlji"/>
    <n v="57.81"/>
    <n v="0"/>
    <n v="57.81"/>
  </r>
  <r>
    <d v="2025-06-16T00:00:00"/>
    <x v="1"/>
    <x v="2"/>
    <s v="Odljev sa žiro-računa"/>
    <s v="Izvod"/>
    <x v="2"/>
    <s v="Žiro račun"/>
    <n v="0"/>
    <n v="57.81"/>
    <n v="-57.81"/>
  </r>
  <r>
    <d v="2025-06-17T00:00:00"/>
    <x v="2"/>
    <x v="8"/>
    <s v="Potraživanje od kupca"/>
    <s v="3/1/1-2025"/>
    <x v="4"/>
    <s v="Kupci u zemlji"/>
    <n v="59.7"/>
    <n v="0"/>
    <n v="59.7"/>
  </r>
  <r>
    <d v="2025-06-17T00:00:00"/>
    <x v="2"/>
    <x v="6"/>
    <s v="Račun za prodanu robu"/>
    <s v="3/1/1-2025"/>
    <x v="6"/>
    <s v="Prihodi od prodaje robe"/>
    <n v="0"/>
    <n v="59.7"/>
    <n v="-59.7"/>
  </r>
  <r>
    <d v="2025-06-17T00:00:00"/>
    <x v="1"/>
    <x v="2"/>
    <s v="Priljev na žiro-račun"/>
    <s v="Izvod"/>
    <x v="2"/>
    <s v="Žiro račun"/>
    <n v="59.7"/>
    <n v="0"/>
    <n v="59.7"/>
  </r>
  <r>
    <d v="2025-06-17T00:00:00"/>
    <x v="1"/>
    <x v="8"/>
    <s v="Uplata kupca po računu 3/1/1-2025"/>
    <s v="Izvod"/>
    <x v="4"/>
    <s v="Kupci u zemlji"/>
    <n v="0"/>
    <n v="59.7"/>
    <n v="-59.7"/>
  </r>
  <r>
    <d v="2025-06-30T00:00:00"/>
    <x v="0"/>
    <x v="0"/>
    <s v="Račun za bankarske usluge"/>
    <s v="2340-12250583714"/>
    <x v="0"/>
    <s v="Troškovi platnog prometa"/>
    <n v="10.38"/>
    <n v="0"/>
    <n v="10.38"/>
  </r>
  <r>
    <d v="2025-06-30T00:00:00"/>
    <x v="0"/>
    <x v="1"/>
    <s v="Obveza po računu"/>
    <s v="2340-12250583714"/>
    <x v="1"/>
    <s v="Dobavljači u zemlji"/>
    <n v="0"/>
    <n v="10.38"/>
    <n v="-10.38"/>
  </r>
  <r>
    <d v="2025-07-03T00:00:00"/>
    <x v="0"/>
    <x v="0"/>
    <s v="Račun za kupljenu robu"/>
    <s v="1763-011-1"/>
    <x v="5"/>
    <s v="Trošak nabavne vrijednosti robe"/>
    <n v="96.25"/>
    <n v="0"/>
    <n v="96.25"/>
  </r>
  <r>
    <d v="2025-07-03T00:00:00"/>
    <x v="0"/>
    <x v="5"/>
    <s v="Obveza po računu"/>
    <s v="1763-011-1"/>
    <x v="1"/>
    <s v="Dobavljači u zemlji"/>
    <n v="0"/>
    <n v="96.25"/>
    <n v="-96.25"/>
  </r>
  <r>
    <d v="2025-07-03T00:00:00"/>
    <x v="2"/>
    <x v="9"/>
    <s v="Potraživanje od kupca"/>
    <s v="4/1/1-2025"/>
    <x v="4"/>
    <s v="Kupci u zemlji"/>
    <n v="113.4"/>
    <n v="0"/>
    <n v="113.4"/>
  </r>
  <r>
    <d v="2025-07-03T00:00:00"/>
    <x v="2"/>
    <x v="6"/>
    <s v="Račun za prodanu robu"/>
    <s v="4/1/1-2025"/>
    <x v="6"/>
    <s v="Prihodi od prodaje robe"/>
    <n v="0"/>
    <n v="113.4"/>
    <n v="-113.4"/>
  </r>
  <r>
    <d v="2025-07-03T00:00:00"/>
    <x v="1"/>
    <x v="2"/>
    <s v="Priljev na žiro-račun"/>
    <s v="Izvod"/>
    <x v="2"/>
    <s v="Žiro račun"/>
    <n v="113.4"/>
    <n v="0"/>
    <n v="113.4"/>
  </r>
  <r>
    <d v="2025-07-03T00:00:00"/>
    <x v="1"/>
    <x v="9"/>
    <s v="Uplata kupca po računu 4/1/1-2025"/>
    <s v="Izvod"/>
    <x v="4"/>
    <s v="Kupci u zemlji"/>
    <n v="0"/>
    <n v="113.4"/>
    <n v="-113.4"/>
  </r>
  <r>
    <d v="2025-07-04T00:00:00"/>
    <x v="1"/>
    <x v="5"/>
    <s v="Plaćanje računa 1763-011-1"/>
    <s v="Izvod"/>
    <x v="1"/>
    <s v="Dobavljači u zemlji"/>
    <n v="96.25"/>
    <n v="0"/>
    <n v="96.25"/>
  </r>
  <r>
    <d v="2025-07-04T00:00:00"/>
    <x v="1"/>
    <x v="2"/>
    <s v="Odljev sa žiro-računa"/>
    <s v="Izvod"/>
    <x v="2"/>
    <s v="Žiro račun"/>
    <n v="0"/>
    <n v="96.25"/>
    <n v="-96.25"/>
  </r>
  <r>
    <d v="2025-07-10T00:00:00"/>
    <x v="1"/>
    <x v="1"/>
    <s v="Plaćanje računa 2340-12250583714"/>
    <s v="Izvod"/>
    <x v="1"/>
    <s v="Dobavljači u zemlji"/>
    <n v="10.38"/>
    <n v="0"/>
    <n v="10.38"/>
  </r>
  <r>
    <d v="2025-07-10T00:00:00"/>
    <x v="1"/>
    <x v="2"/>
    <s v="Odljev sa žiro-računa"/>
    <s v="Izvod"/>
    <x v="2"/>
    <s v="Žiro račun"/>
    <n v="0"/>
    <n v="10.38"/>
    <n v="-10.38"/>
  </r>
  <r>
    <d v="2025-07-31T00:00:00"/>
    <x v="0"/>
    <x v="0"/>
    <s v="Račun za bankarske usluge"/>
    <s v="2340-14251494458"/>
    <x v="0"/>
    <s v="Troškovi platnog prometa"/>
    <n v="10.54"/>
    <n v="0"/>
    <n v="10.54"/>
  </r>
  <r>
    <d v="2025-07-31T00:00:00"/>
    <x v="0"/>
    <x v="1"/>
    <s v="Obveza po računu"/>
    <s v="2340-14251494458"/>
    <x v="1"/>
    <s v="Dobavljači u zemlji"/>
    <n v="0"/>
    <n v="10.54"/>
    <n v="-10.54"/>
  </r>
  <r>
    <d v="2025-08-11T00:00:00"/>
    <x v="1"/>
    <x v="1"/>
    <s v="Plaćanje računa 2340-14251494458"/>
    <s v="Izvod"/>
    <x v="1"/>
    <s v="Dobavljači u zemlji"/>
    <n v="10.54"/>
    <n v="0"/>
    <n v="10.54"/>
  </r>
  <r>
    <d v="2025-08-11T00:00:00"/>
    <x v="1"/>
    <x v="2"/>
    <s v="Odljev sa žiro-računa"/>
    <s v="Izvod"/>
    <x v="2"/>
    <s v="Žiro račun"/>
    <n v="0"/>
    <n v="10.54"/>
    <n v="-10.54"/>
  </r>
  <r>
    <d v="2025-08-26T00:00:00"/>
    <x v="1"/>
    <x v="2"/>
    <s v="Priljev na žiro-račun"/>
    <s v="Izvod"/>
    <x v="2"/>
    <s v="Žiro račun"/>
    <n v="340.2"/>
    <n v="0"/>
    <n v="340.2"/>
  </r>
  <r>
    <d v="2025-08-26T00:00:00"/>
    <x v="1"/>
    <x v="10"/>
    <s v="Uplata kupca po računu 5/1/1-2025"/>
    <s v="Izvod"/>
    <x v="4"/>
    <s v="Kupci u zemlji"/>
    <n v="0"/>
    <n v="340.2"/>
    <n v="-340.2"/>
  </r>
  <r>
    <d v="2025-08-27T00:00:00"/>
    <x v="0"/>
    <x v="0"/>
    <s v="Račun za kupljenu robu"/>
    <s v="2137-011-1"/>
    <x v="5"/>
    <s v="Trošak nabavne vrijednosti robe"/>
    <n v="270"/>
    <n v="0"/>
    <n v="270"/>
  </r>
  <r>
    <d v="2025-08-27T00:00:00"/>
    <x v="0"/>
    <x v="5"/>
    <s v="Obveza po računu"/>
    <s v="2137-011-1"/>
    <x v="1"/>
    <s v="Dobavljači u zemlji"/>
    <n v="0"/>
    <n v="270"/>
    <n v="-270"/>
  </r>
  <r>
    <d v="2025-08-27T00:00:00"/>
    <x v="2"/>
    <x v="10"/>
    <s v="Potraživanje od kupca"/>
    <s v="5/1/1-2025"/>
    <x v="4"/>
    <s v="Kupci u zemlji"/>
    <n v="340.2"/>
    <n v="0"/>
    <n v="340.2"/>
  </r>
  <r>
    <d v="2025-08-27T00:00:00"/>
    <x v="2"/>
    <x v="6"/>
    <s v="Račun za prodanu robu"/>
    <s v="5/1/1-2025"/>
    <x v="6"/>
    <s v="Prihodi od prodaje robe"/>
    <n v="0"/>
    <n v="340.2"/>
    <n v="-340.2"/>
  </r>
  <r>
    <d v="2025-08-27T00:00:00"/>
    <x v="1"/>
    <x v="5"/>
    <s v="Plaćanje računa 2137-011-1"/>
    <s v="Izvod"/>
    <x v="1"/>
    <s v="Dobavljači u zemlji"/>
    <n v="270"/>
    <n v="0"/>
    <n v="270"/>
  </r>
  <r>
    <d v="2025-08-27T00:00:00"/>
    <x v="1"/>
    <x v="2"/>
    <s v="Odljev sa žiro-računa"/>
    <s v="Izvod"/>
    <x v="2"/>
    <s v="Žiro račun"/>
    <n v="0"/>
    <n v="270"/>
    <n v="-270"/>
  </r>
  <r>
    <d v="2025-08-31T00:00:00"/>
    <x v="0"/>
    <x v="0"/>
    <s v="Račun za bankarske usluge"/>
    <s v="2340-16252397024"/>
    <x v="0"/>
    <s v="Troškovi platnog prometa"/>
    <n v="10.38"/>
    <n v="0"/>
    <n v="10.38"/>
  </r>
  <r>
    <d v="2025-08-31T00:00:00"/>
    <x v="0"/>
    <x v="1"/>
    <s v="Obveza po računu"/>
    <s v="2340-16252397024"/>
    <x v="1"/>
    <s v="Dobavljači u zemlji"/>
    <n v="0"/>
    <n v="10.38"/>
    <n v="-10.38"/>
  </r>
  <r>
    <d v="2025-09-03T00:00:00"/>
    <x v="1"/>
    <x v="3"/>
    <s v="Plaćanje računa 243229-NUKA-3"/>
    <s v="Izvod"/>
    <x v="1"/>
    <s v="Dobavljači u zemlji"/>
    <n v="269"/>
    <n v="0"/>
    <n v="269"/>
  </r>
  <r>
    <d v="2025-09-03T00:00:00"/>
    <x v="1"/>
    <x v="2"/>
    <s v="Odljev sa žiro-računa"/>
    <s v="Izvod"/>
    <x v="2"/>
    <s v="Žiro račun"/>
    <n v="0"/>
    <n v="269"/>
    <n v="-269"/>
  </r>
  <r>
    <d v="2025-09-04T00:00:00"/>
    <x v="0"/>
    <x v="0"/>
    <s v="Račun za oglašavanje na njuskalo.hr"/>
    <s v="243229-NUKA-3"/>
    <x v="3"/>
    <s v="Troškovi usluga"/>
    <n v="269"/>
    <n v="0"/>
    <n v="269"/>
  </r>
  <r>
    <d v="2025-09-04T00:00:00"/>
    <x v="0"/>
    <x v="3"/>
    <s v="Obveza po računu"/>
    <s v="243229-NUKA-3"/>
    <x v="1"/>
    <s v="Dobavljači u zemlji"/>
    <n v="0"/>
    <n v="269"/>
    <n v="-269"/>
  </r>
  <r>
    <d v="2025-09-08T00:00:00"/>
    <x v="0"/>
    <x v="0"/>
    <s v="Račun za kupljenu robu"/>
    <s v="2272-011-1"/>
    <x v="5"/>
    <s v="Trošak nabavne vrijednosti robe"/>
    <n v="135"/>
    <n v="0"/>
    <n v="135"/>
  </r>
  <r>
    <d v="2025-09-08T00:00:00"/>
    <x v="0"/>
    <x v="5"/>
    <s v="Obveza po računu"/>
    <s v="2272-011-1"/>
    <x v="1"/>
    <s v="Dobavljači u zemlji"/>
    <n v="0"/>
    <n v="135"/>
    <n v="-135"/>
  </r>
  <r>
    <d v="2025-09-08T00:00:00"/>
    <x v="1"/>
    <x v="2"/>
    <s v="Priljev na žiro-račun"/>
    <s v="Izvod"/>
    <x v="2"/>
    <s v="Žiro račun"/>
    <n v="170.1"/>
    <n v="0"/>
    <n v="170.1"/>
  </r>
  <r>
    <d v="2025-09-08T00:00:00"/>
    <x v="1"/>
    <x v="10"/>
    <s v="Uplata kupca po računu 6/1/1-2025"/>
    <s v="Izvod"/>
    <x v="4"/>
    <s v="Kupci u zemlji"/>
    <n v="0"/>
    <n v="170.1"/>
    <n v="-170.1"/>
  </r>
  <r>
    <d v="2025-09-09T00:00:00"/>
    <x v="2"/>
    <x v="10"/>
    <s v="Potraživanje od kupca"/>
    <s v="6/1/1-2025"/>
    <x v="4"/>
    <s v="Kupci u zemlji"/>
    <n v="170.1"/>
    <n v="0"/>
    <n v="170.1"/>
  </r>
  <r>
    <d v="2025-09-09T00:00:00"/>
    <x v="2"/>
    <x v="6"/>
    <s v="Račun za prodanu robu"/>
    <s v="6/1/1-2025"/>
    <x v="6"/>
    <s v="Prihodi od prodaje robe"/>
    <n v="0"/>
    <n v="170.1"/>
    <n v="-170.1"/>
  </r>
  <r>
    <d v="2025-09-09T00:00:00"/>
    <x v="1"/>
    <x v="5"/>
    <s v="Plaćanje računa 2272-011-1"/>
    <s v="Izvod"/>
    <x v="1"/>
    <s v="Dobavljači u zemlji"/>
    <n v="135"/>
    <n v="0"/>
    <n v="135"/>
  </r>
  <r>
    <d v="2025-09-09T00:00:00"/>
    <x v="1"/>
    <x v="2"/>
    <s v="Odljev sa žiro-računa"/>
    <s v="Izvod"/>
    <x v="2"/>
    <s v="Žiro račun"/>
    <n v="0"/>
    <n v="135"/>
    <n v="-135"/>
  </r>
  <r>
    <d v="2025-09-10T00:00:00"/>
    <x v="1"/>
    <x v="1"/>
    <s v="Plaćanje računa 2340-16252397024"/>
    <s v="Izvod"/>
    <x v="1"/>
    <s v="Dobavljači u zemlji"/>
    <n v="10.38"/>
    <n v="0"/>
    <n v="10.38"/>
  </r>
  <r>
    <d v="2025-09-10T00:00:00"/>
    <x v="1"/>
    <x v="2"/>
    <s v="Odljev sa žiro-računa"/>
    <s v="Izvod"/>
    <x v="2"/>
    <s v="Žiro račun"/>
    <n v="0"/>
    <n v="10.38"/>
    <n v="-10.38"/>
  </r>
  <r>
    <d v="2025-09-22T00:00:00"/>
    <x v="1"/>
    <x v="2"/>
    <s v="Priljev na žiro-račun"/>
    <s v="Izvod"/>
    <x v="2"/>
    <s v="Žiro račun"/>
    <n v="8360.86"/>
    <n v="0"/>
    <n v="8360.86"/>
  </r>
  <r>
    <d v="2025-09-22T00:00:00"/>
    <x v="1"/>
    <x v="11"/>
    <s v="Uplata kupca po računu 9/1/1-2025"/>
    <s v="Izvod"/>
    <x v="4"/>
    <s v="Kupci u zemlji"/>
    <n v="0"/>
    <n v="8360.86"/>
    <n v="-8360.86"/>
  </r>
  <r>
    <d v="2025-09-22T00:00:00"/>
    <x v="1"/>
    <x v="12"/>
    <s v="Plaćanje računa 95/04/10"/>
    <s v="Izvod"/>
    <x v="1"/>
    <s v="Dobavljači u zemlji"/>
    <n v="182.5"/>
    <n v="0"/>
    <n v="182.5"/>
  </r>
  <r>
    <d v="2025-09-22T00:00:00"/>
    <x v="1"/>
    <x v="2"/>
    <s v="Odljev sa žiro-računa"/>
    <s v="Izvod"/>
    <x v="2"/>
    <s v="Žiro račun"/>
    <n v="0"/>
    <n v="182.5"/>
    <n v="-182.5"/>
  </r>
  <r>
    <d v="2025-09-22T00:00:00"/>
    <x v="1"/>
    <x v="12"/>
    <s v="Plaćanje računa 1233/04/4"/>
    <s v="Izvod"/>
    <x v="1"/>
    <s v="Dobavljači u zemlji"/>
    <n v="602.35"/>
    <n v="0"/>
    <n v="602.35"/>
  </r>
  <r>
    <d v="2025-09-22T00:00:00"/>
    <x v="1"/>
    <x v="2"/>
    <s v="Odljev sa žiro-računa"/>
    <s v="Izvod"/>
    <x v="2"/>
    <s v="Žiro račun"/>
    <n v="0"/>
    <n v="602.35"/>
    <n v="-602.35"/>
  </r>
  <r>
    <d v="2025-09-22T00:00:00"/>
    <x v="1"/>
    <x v="12"/>
    <s v="Plaćanje računa 3147/04/3"/>
    <s v="Izvod"/>
    <x v="1"/>
    <s v="Dobavljači u zemlji"/>
    <n v="5972.09"/>
    <n v="0"/>
    <n v="5972.09"/>
  </r>
  <r>
    <d v="2025-09-22T00:00:00"/>
    <x v="1"/>
    <x v="2"/>
    <s v="Odljev sa žiro-računa"/>
    <s v="Izvod"/>
    <x v="2"/>
    <s v="Žiro račun"/>
    <n v="0"/>
    <n v="5972.09"/>
    <n v="-5972.09"/>
  </r>
  <r>
    <d v="2025-09-25T00:00:00"/>
    <x v="1"/>
    <x v="2"/>
    <s v="Priljev na žiro-račun"/>
    <s v="Izvod"/>
    <x v="2"/>
    <s v="Žiro račun"/>
    <n v="641.25"/>
    <n v="0"/>
    <n v="641.25"/>
  </r>
  <r>
    <d v="2025-09-25T00:00:00"/>
    <x v="1"/>
    <x v="13"/>
    <s v="Uplata kupca po računu 7/1/1-2025"/>
    <s v="Izvod"/>
    <x v="4"/>
    <s v="Kupci u zemlji"/>
    <n v="0"/>
    <n v="641.25"/>
    <n v="-641.25"/>
  </r>
  <r>
    <d v="2025-09-26T00:00:00"/>
    <x v="0"/>
    <x v="0"/>
    <s v="Račun za kupljenu robu"/>
    <s v="2453-011-1"/>
    <x v="5"/>
    <s v="Trošak nabavne vrijednosti robe"/>
    <n v="527.35"/>
    <n v="0"/>
    <n v="527.35"/>
  </r>
  <r>
    <d v="2025-09-26T00:00:00"/>
    <x v="0"/>
    <x v="5"/>
    <s v="Obveza po računu"/>
    <s v="2453-011-1"/>
    <x v="1"/>
    <s v="Dobavljači u zemlji"/>
    <n v="0"/>
    <n v="527.35"/>
    <n v="-527.35"/>
  </r>
  <r>
    <d v="2025-09-26T00:00:00"/>
    <x v="2"/>
    <x v="13"/>
    <s v="Potraživanje od kupca"/>
    <s v="7/1/1-2025"/>
    <x v="4"/>
    <s v="Kupci u zemlji"/>
    <n v="641.25"/>
    <n v="0"/>
    <n v="641.25"/>
  </r>
  <r>
    <d v="2025-09-26T00:00:00"/>
    <x v="2"/>
    <x v="6"/>
    <s v="Račun za prodanu robu"/>
    <s v="7/1/1-2025"/>
    <x v="6"/>
    <s v="Prihodi od prodaje robe"/>
    <n v="0"/>
    <n v="641.25"/>
    <n v="-641.25"/>
  </r>
  <r>
    <d v="2025-09-30T00:00:00"/>
    <x v="0"/>
    <x v="0"/>
    <s v="Račun za bankarske usluge"/>
    <s v="2340-18253299028"/>
    <x v="0"/>
    <s v="Troškovi platnog prometa"/>
    <n v="11.78"/>
    <n v="0"/>
    <n v="11.78"/>
  </r>
  <r>
    <d v="2025-09-30T00:00:00"/>
    <x v="0"/>
    <x v="1"/>
    <s v="Obveza po računu"/>
    <s v="2340-18253299028"/>
    <x v="1"/>
    <s v="Dobavljači u zemlji"/>
    <n v="0"/>
    <n v="11.78"/>
    <n v="-11.78"/>
  </r>
  <r>
    <d v="2025-09-30T00:00:00"/>
    <x v="1"/>
    <x v="5"/>
    <s v="Plaćanje računa 2453-011-1"/>
    <s v="Izvod"/>
    <x v="1"/>
    <s v="Dobavljači u zemlji"/>
    <n v="527.35"/>
    <n v="0"/>
    <n v="527.35"/>
  </r>
  <r>
    <d v="2025-09-30T00:00:00"/>
    <x v="1"/>
    <x v="2"/>
    <s v="Odljev sa žiro-računa"/>
    <s v="Izvod"/>
    <x v="2"/>
    <s v="Žiro račun"/>
    <n v="0"/>
    <n v="527.35"/>
    <n v="-527.35"/>
  </r>
  <r>
    <d v="2025-10-10T00:00:00"/>
    <x v="1"/>
    <x v="1"/>
    <s v="Plaćanje računa 2340-18253299028"/>
    <s v="Izvod"/>
    <x v="1"/>
    <s v="Dobavljači u zemlji"/>
    <n v="11.78"/>
    <n v="0"/>
    <n v="11.78"/>
  </r>
  <r>
    <d v="2025-10-10T00:00:00"/>
    <x v="1"/>
    <x v="2"/>
    <s v="Odljev sa žiro-računa"/>
    <s v="Izvod"/>
    <x v="2"/>
    <s v="Žiro račun"/>
    <n v="0"/>
    <n v="11.78"/>
    <n v="-11.78"/>
  </r>
  <r>
    <d v="2025-10-16T00:00:00"/>
    <x v="0"/>
    <x v="0"/>
    <s v="Račun za kupljenu robu"/>
    <s v="2691-011-1"/>
    <x v="5"/>
    <s v="Trošak nabavne vrijednosti robe"/>
    <n v="141.25"/>
    <n v="0"/>
    <n v="141.25"/>
  </r>
  <r>
    <d v="2025-10-16T00:00:00"/>
    <x v="0"/>
    <x v="5"/>
    <s v="Obveza po računu"/>
    <s v="2691-011-1"/>
    <x v="1"/>
    <s v="Dobavljači u zemlji"/>
    <n v="0"/>
    <n v="141.25"/>
    <n v="-141.25"/>
  </r>
  <r>
    <d v="2025-10-16T00:00:00"/>
    <x v="0"/>
    <x v="0"/>
    <s v="Račun za kupljenu robu"/>
    <s v="95/04/10"/>
    <x v="5"/>
    <s v="Trošak nabavne vrijednosti robe"/>
    <n v="182.5"/>
    <n v="0"/>
    <n v="182.5"/>
  </r>
  <r>
    <d v="2025-10-16T00:00:00"/>
    <x v="0"/>
    <x v="12"/>
    <s v="Obveza po računu"/>
    <s v="95/04/10"/>
    <x v="1"/>
    <s v="Dobavljači u zemlji"/>
    <n v="0"/>
    <n v="182.5"/>
    <n v="-182.5"/>
  </r>
  <r>
    <d v="2025-10-16T00:00:00"/>
    <x v="0"/>
    <x v="0"/>
    <s v="Račun za kupljenu robu"/>
    <s v="1233/04/4"/>
    <x v="5"/>
    <s v="Trošak nabavne vrijednosti robe"/>
    <n v="602.35"/>
    <n v="0"/>
    <n v="602.35"/>
  </r>
  <r>
    <d v="2025-10-16T00:00:00"/>
    <x v="0"/>
    <x v="12"/>
    <s v="Obveza po računu"/>
    <s v="1233/04/4"/>
    <x v="1"/>
    <s v="Dobavljači u zemlji"/>
    <n v="0"/>
    <n v="602.35"/>
    <n v="-602.35"/>
  </r>
  <r>
    <d v="2025-10-16T00:00:00"/>
    <x v="0"/>
    <x v="0"/>
    <s v="Račun za kupljenu robu"/>
    <s v="3147/04/3"/>
    <x v="5"/>
    <s v="Trošak nabavne vrijednosti robe"/>
    <n v="5972.09"/>
    <n v="0"/>
    <n v="5972.09"/>
  </r>
  <r>
    <d v="2025-10-16T00:00:00"/>
    <x v="0"/>
    <x v="12"/>
    <s v="Obveza po računu"/>
    <s v="3147/04/3"/>
    <x v="1"/>
    <s v="Dobavljači u zemlji"/>
    <n v="0"/>
    <n v="5972.09"/>
    <n v="-5972.09"/>
  </r>
  <r>
    <d v="2025-10-16T00:00:00"/>
    <x v="1"/>
    <x v="2"/>
    <s v="Priljev na žiro-račun"/>
    <s v="Izvod"/>
    <x v="2"/>
    <s v="Žiro račun"/>
    <n v="173"/>
    <n v="0"/>
    <n v="173"/>
  </r>
  <r>
    <d v="2025-10-16T00:00:00"/>
    <x v="1"/>
    <x v="4"/>
    <s v="Uplata kupca po računu 8/1/1-2025"/>
    <s v="Izvod"/>
    <x v="4"/>
    <s v="Kupci u zemlji"/>
    <n v="0"/>
    <n v="173"/>
    <n v="-173"/>
  </r>
  <r>
    <d v="2025-10-17T00:00:00"/>
    <x v="2"/>
    <x v="4"/>
    <s v="Potraživanje od kupca"/>
    <s v="8/1/1-2025"/>
    <x v="4"/>
    <s v="Kupci u zemlji"/>
    <n v="173"/>
    <n v="0"/>
    <n v="173"/>
  </r>
  <r>
    <d v="2025-10-17T00:00:00"/>
    <x v="2"/>
    <x v="6"/>
    <s v="Račun za prodanu robu"/>
    <s v="8/1/1-2025"/>
    <x v="6"/>
    <s v="Prihodi od prodaje robe"/>
    <n v="0"/>
    <n v="173"/>
    <n v="-173"/>
  </r>
  <r>
    <d v="2025-10-17T00:00:00"/>
    <x v="1"/>
    <x v="5"/>
    <s v="Plaćanje računa 2691-011-1"/>
    <s v="Izvod"/>
    <x v="1"/>
    <s v="Dobavljači u zemlji"/>
    <n v="141.25"/>
    <n v="0"/>
    <n v="141.25"/>
  </r>
  <r>
    <d v="2025-10-17T00:00:00"/>
    <x v="1"/>
    <x v="2"/>
    <s v="Odljev sa žiro-računa"/>
    <s v="Izvod"/>
    <x v="2"/>
    <s v="Žiro račun"/>
    <n v="0"/>
    <n v="141.25"/>
    <n v="-141.25"/>
  </r>
  <r>
    <d v="2025-10-18T00:00:00"/>
    <x v="2"/>
    <x v="11"/>
    <s v="Potraživanje od kupca"/>
    <s v="9/1/1-2025"/>
    <x v="4"/>
    <s v="Kupci u zemlji"/>
    <n v="8360.86"/>
    <n v="0"/>
    <n v="8360.86"/>
  </r>
  <r>
    <d v="2025-10-18T00:00:00"/>
    <x v="2"/>
    <x v="6"/>
    <s v="Račun za prodanu robu"/>
    <s v="9/1/1-2025"/>
    <x v="6"/>
    <s v="Prihodi od prodaje robe"/>
    <n v="0"/>
    <n v="8360.86"/>
    <n v="-8360.86"/>
  </r>
  <r>
    <d v="2025-10-26T00:00:00"/>
    <x v="1"/>
    <x v="12"/>
    <s v="Plaćanje računa 1275/04/4"/>
    <s v="Izvod"/>
    <x v="1"/>
    <s v="Dobavljači u zemlji"/>
    <n v="62.5"/>
    <n v="0"/>
    <n v="62.5"/>
  </r>
  <r>
    <d v="2025-10-26T00:00:00"/>
    <x v="1"/>
    <x v="2"/>
    <s v="Odljev sa žiro-računa"/>
    <s v="Izvod"/>
    <x v="2"/>
    <s v="Žiro račun"/>
    <n v="0"/>
    <n v="62.5"/>
    <n v="-62.5"/>
  </r>
  <r>
    <d v="2025-10-27T00:00:00"/>
    <x v="0"/>
    <x v="0"/>
    <s v="Račun za slanje paketa"/>
    <s v="247111/2/1"/>
    <x v="3"/>
    <s v="Troškovi usluga"/>
    <n v="7"/>
    <n v="0"/>
    <n v="7"/>
  </r>
  <r>
    <d v="2025-10-27T00:00:00"/>
    <x v="0"/>
    <x v="14"/>
    <s v="Obveza po računu"/>
    <s v="247111/2/1"/>
    <x v="1"/>
    <s v="Dobavljači u zemlji"/>
    <n v="0"/>
    <n v="7"/>
    <n v="-7"/>
  </r>
  <r>
    <d v="2025-10-27T00:00:00"/>
    <x v="0"/>
    <x v="0"/>
    <s v="Račun za kupljenu robu"/>
    <s v="1275/04/4"/>
    <x v="5"/>
    <s v="Trošak nabavne vrijednosti robe"/>
    <n v="62.5"/>
    <n v="0"/>
    <n v="62.5"/>
  </r>
  <r>
    <d v="2025-10-27T00:00:00"/>
    <x v="0"/>
    <x v="12"/>
    <s v="Obveza po računu"/>
    <s v="1275/04/4"/>
    <x v="1"/>
    <s v="Dobavljači u zemlji"/>
    <n v="0"/>
    <n v="62.5"/>
    <n v="-62.5"/>
  </r>
  <r>
    <d v="2025-10-27T00:00:00"/>
    <x v="1"/>
    <x v="2"/>
    <s v="Priljev na žiro-račun"/>
    <s v="Izvod"/>
    <x v="2"/>
    <s v="Žiro račun"/>
    <n v="75"/>
    <n v="0"/>
    <n v="75"/>
  </r>
  <r>
    <d v="2025-10-27T00:00:00"/>
    <x v="1"/>
    <x v="11"/>
    <s v="Uplata kupca po računu 10/1/1-2025"/>
    <s v="Izvod"/>
    <x v="4"/>
    <s v="Kupci u zemlji"/>
    <n v="0"/>
    <n v="75"/>
    <n v="-75"/>
  </r>
  <r>
    <d v="2025-10-28T00:00:00"/>
    <x v="1"/>
    <x v="14"/>
    <s v="Plaćanje računa 247111/2/1"/>
    <s v="Izvod"/>
    <x v="1"/>
    <s v="Dobavljači u zemlji"/>
    <n v="7"/>
    <n v="0"/>
    <n v="7"/>
  </r>
  <r>
    <d v="2025-10-28T00:00:00"/>
    <x v="1"/>
    <x v="2"/>
    <s v="Odljev sa žiro-računa"/>
    <s v="Izvod"/>
    <x v="2"/>
    <s v="Žiro račun"/>
    <n v="0"/>
    <n v="7"/>
    <n v="-7"/>
  </r>
  <r>
    <d v="2025-10-29T00:00:00"/>
    <x v="2"/>
    <x v="11"/>
    <s v="Potraživanje od kupca"/>
    <s v="10/1/1-2025"/>
    <x v="4"/>
    <s v="Kupci u zemlji"/>
    <n v="75"/>
    <n v="0"/>
    <n v="75"/>
  </r>
  <r>
    <d v="2025-10-29T00:00:00"/>
    <x v="2"/>
    <x v="6"/>
    <s v="Račun za prodanu robu"/>
    <s v="10/1/1-2025"/>
    <x v="6"/>
    <s v="Prihodi od prodaje robe"/>
    <n v="0"/>
    <n v="75"/>
    <n v="-75"/>
  </r>
  <r>
    <d v="2025-10-31T00:00:00"/>
    <x v="0"/>
    <x v="0"/>
    <s v="Račun za bankarske usluge"/>
    <s v="2340-20254216994"/>
    <x v="0"/>
    <s v="Troškovi platnog prometa"/>
    <n v="10.97"/>
    <n v="0"/>
    <n v="10.97"/>
  </r>
  <r>
    <d v="2025-10-31T00:00:00"/>
    <x v="0"/>
    <x v="1"/>
    <s v="Obveza po računu"/>
    <s v="2340-20254216994"/>
    <x v="1"/>
    <s v="Dobavljači u zemlji"/>
    <n v="0"/>
    <n v="10.97"/>
    <n v="-10.97"/>
  </r>
  <r>
    <d v="2025-11-10T00:00:00"/>
    <x v="1"/>
    <x v="1"/>
    <s v="Plaćanje računa 2340-20254216994"/>
    <s v="Izvod"/>
    <x v="1"/>
    <s v="Dobavljači u zemlji"/>
    <n v="10.97"/>
    <n v="0"/>
    <n v="10.97"/>
  </r>
  <r>
    <d v="2025-11-10T00:00:00"/>
    <x v="1"/>
    <x v="2"/>
    <s v="Odljev sa žiro-računa"/>
    <s v="Izvod"/>
    <x v="2"/>
    <s v="Žiro račun"/>
    <n v="0"/>
    <n v="10.97"/>
    <n v="-10.97"/>
  </r>
  <r>
    <d v="2025-11-24T00:00:00"/>
    <x v="0"/>
    <x v="0"/>
    <s v="Račun za kupljenu robu"/>
    <s v="3108-011-1"/>
    <x v="5"/>
    <s v="Trošak nabavne vrijednosti robe"/>
    <n v="342"/>
    <n v="0"/>
    <n v="342"/>
  </r>
  <r>
    <d v="2025-11-24T00:00:00"/>
    <x v="0"/>
    <x v="5"/>
    <s v="Obveza po računu"/>
    <s v="3108-011-1"/>
    <x v="1"/>
    <s v="Dobavljači u zemlji"/>
    <n v="0"/>
    <n v="342"/>
    <n v="-342"/>
  </r>
  <r>
    <d v="2025-11-24T00:00:00"/>
    <x v="1"/>
    <x v="2"/>
    <s v="Priljev na žiro-račun"/>
    <s v="Izvod"/>
    <x v="2"/>
    <s v="Žiro račun"/>
    <n v="432"/>
    <n v="0"/>
    <n v="432"/>
  </r>
  <r>
    <d v="2025-11-24T00:00:00"/>
    <x v="1"/>
    <x v="15"/>
    <s v="Uplata kupca po računu 11/1/1-2025"/>
    <s v="Izvod"/>
    <x v="4"/>
    <s v="Kupci u zemlji"/>
    <n v="0"/>
    <n v="432"/>
    <n v="-432"/>
  </r>
  <r>
    <d v="2025-11-25T00:00:00"/>
    <x v="2"/>
    <x v="15"/>
    <s v="Potraživanje od kupca"/>
    <s v="11/1/1-2025"/>
    <x v="4"/>
    <s v="Kupci u zemlji"/>
    <n v="432"/>
    <n v="0"/>
    <n v="432"/>
  </r>
  <r>
    <d v="2025-11-25T00:00:00"/>
    <x v="2"/>
    <x v="6"/>
    <s v="Račun za prodanu robu"/>
    <s v="11/1/1-2025"/>
    <x v="6"/>
    <s v="Prihodi od prodaje robe"/>
    <n v="0"/>
    <n v="432"/>
    <n v="-432"/>
  </r>
  <r>
    <d v="2025-11-25T00:00:00"/>
    <x v="1"/>
    <x v="5"/>
    <s v="Plaćanje računa 3108-011-1"/>
    <s v="Izvod"/>
    <x v="1"/>
    <s v="Dobavljači u zemlji"/>
    <n v="342"/>
    <n v="0"/>
    <n v="342"/>
  </r>
  <r>
    <d v="2025-11-25T00:00:00"/>
    <x v="1"/>
    <x v="2"/>
    <s v="Odljev sa žiro-računa"/>
    <s v="Izvod"/>
    <x v="2"/>
    <s v="Žiro račun"/>
    <n v="0"/>
    <n v="342"/>
    <n v="-342"/>
  </r>
  <r>
    <d v="2025-11-26T00:00:00"/>
    <x v="0"/>
    <x v="0"/>
    <s v="Račun za javnobiježničke usluge"/>
    <s v="12394/GP/1"/>
    <x v="3"/>
    <s v="Troškovi usluga"/>
    <n v="141.59"/>
    <n v="0"/>
    <n v="141.59"/>
  </r>
  <r>
    <d v="2025-11-26T00:00:00"/>
    <x v="0"/>
    <x v="16"/>
    <s v="Obveza po računu"/>
    <s v="12394/GP/1"/>
    <x v="1"/>
    <s v="Dobavljači u zemlji"/>
    <n v="0"/>
    <n v="141.59"/>
    <n v="-141.59"/>
  </r>
  <r>
    <d v="2025-11-26T00:00:00"/>
    <x v="1"/>
    <x v="16"/>
    <s v="Plaćanje računa 12394/GP/1"/>
    <s v="Izvod"/>
    <x v="1"/>
    <s v="Dobavljači u zemlji"/>
    <n v="141.59"/>
    <n v="0"/>
    <n v="141.59"/>
  </r>
  <r>
    <d v="2025-11-26T00:00:00"/>
    <x v="1"/>
    <x v="2"/>
    <s v="Odljev sa žiro-računa"/>
    <s v="Izvod"/>
    <x v="2"/>
    <s v="Žiro račun"/>
    <n v="0"/>
    <n v="141.59"/>
    <n v="-141.59"/>
  </r>
  <r>
    <d v="2025-11-27T00:00:00"/>
    <x v="0"/>
    <x v="0"/>
    <s v="Sudska pristojba - trošak promjene u j.d.o.o. 2lmf pro"/>
    <m/>
    <x v="7"/>
    <s v="Ostali troškovi poslovanja"/>
    <n v="7.96"/>
    <n v="0"/>
    <n v="7.96"/>
  </r>
  <r>
    <d v="2025-11-27T00:00:00"/>
    <x v="0"/>
    <x v="17"/>
    <s v="Obveza po računu"/>
    <m/>
    <x v="1"/>
    <s v="Dobavljači u zemlji"/>
    <n v="0"/>
    <n v="7.96"/>
    <n v="-7.96"/>
  </r>
  <r>
    <d v="2025-11-27T00:00:00"/>
    <x v="1"/>
    <x v="17"/>
    <s v="Plaćanje računa "/>
    <s v="Izvod"/>
    <x v="1"/>
    <s v="Dobavljači u zemlji"/>
    <n v="7.96"/>
    <n v="0"/>
    <n v="7.96"/>
  </r>
  <r>
    <d v="2025-11-27T00:00:00"/>
    <x v="1"/>
    <x v="2"/>
    <s v="Odljev sa žiro-računa"/>
    <s v="Izvod"/>
    <x v="2"/>
    <s v="Žiro račun"/>
    <n v="0"/>
    <n v="7.96"/>
    <n v="-7.96"/>
  </r>
  <r>
    <d v="2025-11-30T00:00:00"/>
    <x v="0"/>
    <x v="0"/>
    <s v="Račun za bankarske usluge"/>
    <s v="2340-22255132265"/>
    <x v="0"/>
    <s v="Troškovi platnog prometa"/>
    <n v="10.97"/>
    <n v="0"/>
    <n v="10.97"/>
  </r>
  <r>
    <d v="2025-11-30T00:00:00"/>
    <x v="0"/>
    <x v="1"/>
    <s v="Obveza po računu"/>
    <s v="2340-22255132265"/>
    <x v="1"/>
    <s v="Dobavljači u zemlji"/>
    <n v="0"/>
    <n v="10.97"/>
    <n v="-10.97"/>
  </r>
  <r>
    <d v="2025-12-10T00:00:00"/>
    <x v="1"/>
    <x v="1"/>
    <s v="Plaćanje računa 2340-22255132265"/>
    <s v="Izvod"/>
    <x v="1"/>
    <s v="Dobavljači u zemlji"/>
    <n v="10.97"/>
    <n v="0"/>
    <n v="10.97"/>
  </r>
  <r>
    <d v="2025-12-10T00:00:00"/>
    <x v="1"/>
    <x v="2"/>
    <s v="Odljev sa žiro-računa"/>
    <s v="Izvod"/>
    <x v="2"/>
    <s v="Žiro račun"/>
    <n v="0"/>
    <n v="10.97"/>
    <n v="-10.97"/>
  </r>
  <r>
    <d v="2025-12-31T00:00:00"/>
    <x v="0"/>
    <x v="0"/>
    <s v="Račun za bankarske usluge"/>
    <s v="2340-24256057978"/>
    <x v="0"/>
    <s v="Troškovi platnog prometa"/>
    <n v="9.9499999999999993"/>
    <n v="0"/>
    <n v="9.9499999999999993"/>
  </r>
  <r>
    <d v="2025-12-31T00:00:00"/>
    <x v="0"/>
    <x v="1"/>
    <s v="Obveza po računu"/>
    <s v="2340-24256057978"/>
    <x v="1"/>
    <s v="Dobavljači u zemlji"/>
    <n v="0"/>
    <n v="9.9499999999999993"/>
    <n v="-9.9499999999999993"/>
  </r>
  <r>
    <d v="2025-01-01T00:00:00"/>
    <x v="3"/>
    <x v="2"/>
    <s v="PS-ŽR"/>
    <m/>
    <x v="2"/>
    <s v="Žiro račun"/>
    <n v="10.24"/>
    <n v="0"/>
    <n v="10.24"/>
  </r>
  <r>
    <s v="01/012025"/>
    <x v="3"/>
    <x v="18"/>
    <s v="PS-Pozajmica"/>
    <m/>
    <x v="8"/>
    <s v="Pozajmica"/>
    <n v="0"/>
    <n v="480"/>
    <n v="-480"/>
  </r>
  <r>
    <s v="01/012025"/>
    <x v="3"/>
    <x v="19"/>
    <s v="PS-temeljni kapital"/>
    <m/>
    <x v="9"/>
    <s v="temeljni kapital"/>
    <n v="0"/>
    <n v="1.33"/>
    <n v="-1.33"/>
  </r>
  <r>
    <d v="2025-01-01T00:00:00"/>
    <x v="3"/>
    <x v="20"/>
    <s v="PS-preneseni gubitci"/>
    <m/>
    <x v="10"/>
    <s v="preneseni gubitci"/>
    <n v="469.76"/>
    <n v="0"/>
    <n v="471.09"/>
  </r>
  <r>
    <d v="2025-05-07T00:00:00"/>
    <x v="1"/>
    <x v="2"/>
    <s v="uplata pozajmice"/>
    <m/>
    <x v="2"/>
    <s v="Žiro račun"/>
    <n v="50"/>
    <n v="0"/>
    <n v="50"/>
  </r>
  <r>
    <d v="2025-05-07T00:00:00"/>
    <x v="1"/>
    <x v="18"/>
    <s v="uplata pozajmice"/>
    <m/>
    <x v="8"/>
    <s v="Pozajmica"/>
    <n v="0"/>
    <n v="50"/>
    <n v="-50"/>
  </r>
  <r>
    <d v="2025-01-10T00:00:00"/>
    <x v="1"/>
    <x v="2"/>
    <s v="Bankarska naknada"/>
    <m/>
    <x v="2"/>
    <s v="Žiro račun"/>
    <n v="0"/>
    <n v="10.24"/>
    <n v="-10.24"/>
  </r>
  <r>
    <d v="2025-01-10T00:00:00"/>
    <x v="1"/>
    <x v="0"/>
    <s v="Račun za bankarske usluge"/>
    <m/>
    <x v="0"/>
    <s v="Troškovi platnog prometa"/>
    <n v="10.24"/>
    <n v="0"/>
    <n v="10.24"/>
  </r>
  <r>
    <d v="2025-12-31T00:00:00"/>
    <x v="1"/>
    <x v="2"/>
    <s v="Žiro račun"/>
    <s v="Žiro račun"/>
    <x v="2"/>
    <s v="Prihod kamate"/>
    <n v="0.03"/>
    <n v="0"/>
    <n v="0.03"/>
  </r>
  <r>
    <d v="2025-12-31T00:00:00"/>
    <x v="1"/>
    <x v="21"/>
    <s v="Prihod kamate"/>
    <s v="Izvod"/>
    <x v="11"/>
    <s v="Prihod kamate"/>
    <n v="0"/>
    <n v="0.03"/>
    <n v="-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B6143-9856-4A73-9EAB-27DCA522944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 rowPageCount="1" colPageCount="1"/>
  <pivotFields count="10">
    <pivotField showAll="0"/>
    <pivotField axis="axisPage" multipleItemSelectionAllowed="1" showAll="0">
      <items count="5">
        <item x="2"/>
        <item x="1"/>
        <item h="1" x="3"/>
        <item x="0"/>
        <item t="default"/>
      </items>
    </pivotField>
    <pivotField showAll="0">
      <items count="23">
        <item x="9"/>
        <item x="11"/>
        <item x="17"/>
        <item x="10"/>
        <item x="14"/>
        <item x="16"/>
        <item x="8"/>
        <item x="15"/>
        <item x="4"/>
        <item x="13"/>
        <item x="3"/>
        <item x="18"/>
        <item x="20"/>
        <item x="6"/>
        <item x="21"/>
        <item x="1"/>
        <item x="5"/>
        <item x="12"/>
        <item x="19"/>
        <item x="7"/>
        <item x="0"/>
        <item x="2"/>
        <item t="default"/>
      </items>
    </pivotField>
    <pivotField showAll="0"/>
    <pivotField showAll="0"/>
    <pivotField axis="axisRow" showAll="0">
      <items count="13">
        <item x="2"/>
        <item x="4"/>
        <item x="8"/>
        <item x="1"/>
        <item x="5"/>
        <item x="3"/>
        <item x="0"/>
        <item x="7"/>
        <item x="6"/>
        <item x="11"/>
        <item x="9"/>
        <item x="10"/>
        <item t="default"/>
      </items>
    </pivotField>
    <pivotField showAll="0"/>
    <pivotField dataField="1" showAll="0"/>
    <pivotField dataField="1"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Duguje" fld="7" baseField="0" baseItem="0"/>
    <dataField name="Sum of Potražuj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C8D7-3BC4-409C-A58F-50AE49CFFECD}">
  <dimension ref="A1:C14"/>
  <sheetViews>
    <sheetView workbookViewId="0">
      <selection activeCell="B4" sqref="B4:C13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15" bestFit="1" customWidth="1"/>
  </cols>
  <sheetData>
    <row r="1" spans="1:3" x14ac:dyDescent="0.3">
      <c r="A1" s="3" t="s">
        <v>1</v>
      </c>
      <c r="B1" t="s">
        <v>161</v>
      </c>
    </row>
    <row r="3" spans="1:3" x14ac:dyDescent="0.3">
      <c r="A3" s="3" t="s">
        <v>157</v>
      </c>
      <c r="B3" t="s">
        <v>159</v>
      </c>
      <c r="C3" t="s">
        <v>160</v>
      </c>
    </row>
    <row r="4" spans="1:3" x14ac:dyDescent="0.3">
      <c r="A4" s="4" t="s">
        <v>28</v>
      </c>
      <c r="B4" s="5">
        <v>12575.710000000001</v>
      </c>
      <c r="C4" s="5">
        <v>10898.779999999999</v>
      </c>
    </row>
    <row r="5" spans="1:3" x14ac:dyDescent="0.3">
      <c r="A5" s="4" t="s">
        <v>42</v>
      </c>
      <c r="B5" s="5">
        <v>12525.68</v>
      </c>
      <c r="C5" s="5">
        <v>12525.68</v>
      </c>
    </row>
    <row r="6" spans="1:3" x14ac:dyDescent="0.3">
      <c r="A6" s="4" t="s">
        <v>145</v>
      </c>
      <c r="B6" s="5">
        <v>0</v>
      </c>
      <c r="C6" s="5">
        <v>50</v>
      </c>
    </row>
    <row r="7" spans="1:3" x14ac:dyDescent="0.3">
      <c r="A7" s="4" t="s">
        <v>18</v>
      </c>
      <c r="B7" s="5">
        <v>10888.539999999999</v>
      </c>
      <c r="C7" s="5">
        <v>10898.49</v>
      </c>
    </row>
    <row r="8" spans="1:3" x14ac:dyDescent="0.3">
      <c r="A8" s="4" t="s">
        <v>48</v>
      </c>
      <c r="B8" s="5">
        <v>10093.23</v>
      </c>
      <c r="C8" s="5">
        <v>0</v>
      </c>
    </row>
    <row r="9" spans="1:3" x14ac:dyDescent="0.3">
      <c r="A9" s="4" t="s">
        <v>36</v>
      </c>
      <c r="B9" s="5">
        <v>669.59</v>
      </c>
      <c r="C9" s="5">
        <v>0</v>
      </c>
    </row>
    <row r="10" spans="1:3" x14ac:dyDescent="0.3">
      <c r="A10" s="4" t="s">
        <v>14</v>
      </c>
      <c r="B10" s="5">
        <v>137.94999999999999</v>
      </c>
      <c r="C10" s="5">
        <v>0</v>
      </c>
    </row>
    <row r="11" spans="1:3" x14ac:dyDescent="0.3">
      <c r="A11" s="4" t="s">
        <v>133</v>
      </c>
      <c r="B11" s="5">
        <v>7.96</v>
      </c>
      <c r="C11" s="5">
        <v>0</v>
      </c>
    </row>
    <row r="12" spans="1:3" x14ac:dyDescent="0.3">
      <c r="A12" s="4" t="s">
        <v>55</v>
      </c>
      <c r="B12" s="5">
        <v>0</v>
      </c>
      <c r="C12" s="5">
        <v>12525.68</v>
      </c>
    </row>
    <row r="13" spans="1:3" x14ac:dyDescent="0.3">
      <c r="A13" s="4" t="s">
        <v>156</v>
      </c>
      <c r="B13" s="5">
        <v>0</v>
      </c>
      <c r="C13" s="5">
        <v>0.03</v>
      </c>
    </row>
    <row r="14" spans="1:3" x14ac:dyDescent="0.3">
      <c r="A14" s="4" t="s">
        <v>158</v>
      </c>
      <c r="B14" s="5">
        <v>46898.659999999996</v>
      </c>
      <c r="C14" s="5">
        <v>46898.659999999996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F98C-0D32-42B0-935E-E6F046011B95}">
  <dimension ref="A1:J174"/>
  <sheetViews>
    <sheetView workbookViewId="0">
      <selection activeCell="G172" sqref="G172"/>
    </sheetView>
  </sheetViews>
  <sheetFormatPr defaultRowHeight="14.4" x14ac:dyDescent="0.3"/>
  <cols>
    <col min="1" max="1" width="10.33203125" style="1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45688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t="s">
        <v>15</v>
      </c>
      <c r="H2">
        <v>11.11</v>
      </c>
      <c r="I2">
        <v>0</v>
      </c>
      <c r="J2">
        <f>H2-I2</f>
        <v>11.11</v>
      </c>
    </row>
    <row r="3" spans="1:10" x14ac:dyDescent="0.3">
      <c r="A3" s="1">
        <v>45688</v>
      </c>
      <c r="B3" t="s">
        <v>10</v>
      </c>
      <c r="C3" t="s">
        <v>16</v>
      </c>
      <c r="D3" t="s">
        <v>17</v>
      </c>
      <c r="E3" t="s">
        <v>13</v>
      </c>
      <c r="F3" s="2" t="s">
        <v>18</v>
      </c>
      <c r="G3" t="s">
        <v>19</v>
      </c>
      <c r="H3">
        <v>0</v>
      </c>
      <c r="I3">
        <v>11.11</v>
      </c>
      <c r="J3">
        <f t="shared" ref="J3:J66" si="0">H3-I3</f>
        <v>-11.11</v>
      </c>
    </row>
    <row r="4" spans="1:10" x14ac:dyDescent="0.3">
      <c r="A4" s="1">
        <v>45716</v>
      </c>
      <c r="B4" t="s">
        <v>10</v>
      </c>
      <c r="C4" t="s">
        <v>11</v>
      </c>
      <c r="D4" t="s">
        <v>12</v>
      </c>
      <c r="E4" t="s">
        <v>20</v>
      </c>
      <c r="F4" s="2" t="s">
        <v>14</v>
      </c>
      <c r="G4" t="s">
        <v>15</v>
      </c>
      <c r="H4">
        <v>9.9499999999999993</v>
      </c>
      <c r="I4">
        <v>0</v>
      </c>
      <c r="J4">
        <f t="shared" si="0"/>
        <v>9.9499999999999993</v>
      </c>
    </row>
    <row r="5" spans="1:10" x14ac:dyDescent="0.3">
      <c r="A5" s="1">
        <v>45716</v>
      </c>
      <c r="B5" t="s">
        <v>10</v>
      </c>
      <c r="C5" t="s">
        <v>16</v>
      </c>
      <c r="D5" t="s">
        <v>17</v>
      </c>
      <c r="E5" t="s">
        <v>20</v>
      </c>
      <c r="F5" s="2" t="s">
        <v>18</v>
      </c>
      <c r="G5" t="s">
        <v>19</v>
      </c>
      <c r="H5">
        <v>0</v>
      </c>
      <c r="I5">
        <v>9.9499999999999993</v>
      </c>
      <c r="J5">
        <f t="shared" si="0"/>
        <v>-9.9499999999999993</v>
      </c>
    </row>
    <row r="6" spans="1:10" x14ac:dyDescent="0.3">
      <c r="A6" s="1">
        <v>45747</v>
      </c>
      <c r="B6" t="s">
        <v>10</v>
      </c>
      <c r="C6" t="s">
        <v>11</v>
      </c>
      <c r="D6" t="s">
        <v>12</v>
      </c>
      <c r="E6" t="s">
        <v>21</v>
      </c>
      <c r="F6" s="2" t="s">
        <v>14</v>
      </c>
      <c r="G6" t="s">
        <v>15</v>
      </c>
      <c r="H6">
        <v>9.9499999999999993</v>
      </c>
      <c r="I6">
        <v>0</v>
      </c>
      <c r="J6">
        <f t="shared" si="0"/>
        <v>9.9499999999999993</v>
      </c>
    </row>
    <row r="7" spans="1:10" x14ac:dyDescent="0.3">
      <c r="A7" s="1">
        <v>45747</v>
      </c>
      <c r="B7" t="s">
        <v>10</v>
      </c>
      <c r="C7" t="s">
        <v>16</v>
      </c>
      <c r="D7" t="s">
        <v>17</v>
      </c>
      <c r="E7" t="s">
        <v>21</v>
      </c>
      <c r="F7" s="2" t="s">
        <v>18</v>
      </c>
      <c r="G7" t="s">
        <v>19</v>
      </c>
      <c r="H7">
        <v>0</v>
      </c>
      <c r="I7">
        <v>9.9499999999999993</v>
      </c>
      <c r="J7">
        <f t="shared" si="0"/>
        <v>-9.9499999999999993</v>
      </c>
    </row>
    <row r="8" spans="1:10" x14ac:dyDescent="0.3">
      <c r="A8" s="1">
        <v>45777</v>
      </c>
      <c r="B8" t="s">
        <v>10</v>
      </c>
      <c r="C8" t="s">
        <v>11</v>
      </c>
      <c r="D8" t="s">
        <v>12</v>
      </c>
      <c r="E8" t="s">
        <v>22</v>
      </c>
      <c r="F8" s="2" t="s">
        <v>14</v>
      </c>
      <c r="G8" t="s">
        <v>15</v>
      </c>
      <c r="H8">
        <v>9.9499999999999993</v>
      </c>
      <c r="I8">
        <v>0</v>
      </c>
      <c r="J8">
        <f t="shared" si="0"/>
        <v>9.9499999999999993</v>
      </c>
    </row>
    <row r="9" spans="1:10" x14ac:dyDescent="0.3">
      <c r="A9" s="1">
        <v>45777</v>
      </c>
      <c r="B9" t="s">
        <v>10</v>
      </c>
      <c r="C9" t="s">
        <v>16</v>
      </c>
      <c r="D9" t="s">
        <v>17</v>
      </c>
      <c r="E9" t="s">
        <v>22</v>
      </c>
      <c r="F9" s="2" t="s">
        <v>18</v>
      </c>
      <c r="G9" t="s">
        <v>19</v>
      </c>
      <c r="H9">
        <v>0</v>
      </c>
      <c r="I9">
        <v>9.9499999999999993</v>
      </c>
      <c r="J9">
        <f t="shared" si="0"/>
        <v>-9.9499999999999993</v>
      </c>
    </row>
    <row r="10" spans="1:10" x14ac:dyDescent="0.3">
      <c r="A10" s="1">
        <v>45784</v>
      </c>
      <c r="B10" t="s">
        <v>23</v>
      </c>
      <c r="C10" t="s">
        <v>16</v>
      </c>
      <c r="D10" t="s">
        <v>24</v>
      </c>
      <c r="E10" t="s">
        <v>25</v>
      </c>
      <c r="F10" s="2" t="s">
        <v>18</v>
      </c>
      <c r="G10" t="s">
        <v>19</v>
      </c>
      <c r="H10">
        <v>11.11</v>
      </c>
      <c r="I10">
        <v>0</v>
      </c>
      <c r="J10">
        <f t="shared" si="0"/>
        <v>11.11</v>
      </c>
    </row>
    <row r="11" spans="1:10" x14ac:dyDescent="0.3">
      <c r="A11" s="1">
        <v>45784</v>
      </c>
      <c r="B11" t="s">
        <v>23</v>
      </c>
      <c r="C11" t="s">
        <v>26</v>
      </c>
      <c r="D11" t="s">
        <v>27</v>
      </c>
      <c r="E11" t="s">
        <v>25</v>
      </c>
      <c r="F11" s="2" t="s">
        <v>28</v>
      </c>
      <c r="G11" t="s">
        <v>29</v>
      </c>
      <c r="H11">
        <v>0</v>
      </c>
      <c r="I11">
        <v>11.11</v>
      </c>
      <c r="J11">
        <f t="shared" si="0"/>
        <v>-11.11</v>
      </c>
    </row>
    <row r="12" spans="1:10" x14ac:dyDescent="0.3">
      <c r="A12" s="1">
        <v>45784</v>
      </c>
      <c r="B12" t="s">
        <v>23</v>
      </c>
      <c r="C12" t="s">
        <v>16</v>
      </c>
      <c r="D12" t="s">
        <v>30</v>
      </c>
      <c r="E12" t="s">
        <v>25</v>
      </c>
      <c r="F12" s="2" t="s">
        <v>18</v>
      </c>
      <c r="G12" t="s">
        <v>19</v>
      </c>
      <c r="H12">
        <v>9.9499999999999993</v>
      </c>
      <c r="I12">
        <v>0</v>
      </c>
      <c r="J12">
        <f t="shared" si="0"/>
        <v>9.9499999999999993</v>
      </c>
    </row>
    <row r="13" spans="1:10" x14ac:dyDescent="0.3">
      <c r="A13" s="1">
        <v>45784</v>
      </c>
      <c r="B13" t="s">
        <v>23</v>
      </c>
      <c r="C13" t="s">
        <v>26</v>
      </c>
      <c r="D13" t="s">
        <v>27</v>
      </c>
      <c r="E13" t="s">
        <v>25</v>
      </c>
      <c r="F13" s="2" t="s">
        <v>28</v>
      </c>
      <c r="G13" t="s">
        <v>29</v>
      </c>
      <c r="H13">
        <v>0</v>
      </c>
      <c r="I13">
        <v>9.9499999999999993</v>
      </c>
      <c r="J13">
        <f t="shared" si="0"/>
        <v>-9.9499999999999993</v>
      </c>
    </row>
    <row r="14" spans="1:10" x14ac:dyDescent="0.3">
      <c r="A14" s="1">
        <v>45784</v>
      </c>
      <c r="B14" t="s">
        <v>23</v>
      </c>
      <c r="C14" t="s">
        <v>16</v>
      </c>
      <c r="D14" t="s">
        <v>31</v>
      </c>
      <c r="E14" t="s">
        <v>25</v>
      </c>
      <c r="F14" s="2" t="s">
        <v>18</v>
      </c>
      <c r="G14" t="s">
        <v>19</v>
      </c>
      <c r="H14">
        <v>9.9499999999999993</v>
      </c>
      <c r="I14">
        <v>0</v>
      </c>
      <c r="J14">
        <f t="shared" si="0"/>
        <v>9.9499999999999993</v>
      </c>
    </row>
    <row r="15" spans="1:10" x14ac:dyDescent="0.3">
      <c r="A15" s="1">
        <v>45784</v>
      </c>
      <c r="B15" t="s">
        <v>23</v>
      </c>
      <c r="C15" t="s">
        <v>26</v>
      </c>
      <c r="D15" t="s">
        <v>27</v>
      </c>
      <c r="E15" t="s">
        <v>25</v>
      </c>
      <c r="F15" s="2" t="s">
        <v>28</v>
      </c>
      <c r="G15" t="s">
        <v>29</v>
      </c>
      <c r="H15">
        <v>0</v>
      </c>
      <c r="I15">
        <v>9.9499999999999993</v>
      </c>
      <c r="J15">
        <f t="shared" si="0"/>
        <v>-9.9499999999999993</v>
      </c>
    </row>
    <row r="16" spans="1:10" x14ac:dyDescent="0.3">
      <c r="A16" s="1">
        <v>45785</v>
      </c>
      <c r="B16" t="s">
        <v>23</v>
      </c>
      <c r="C16" t="s">
        <v>32</v>
      </c>
      <c r="D16" t="s">
        <v>33</v>
      </c>
      <c r="E16" t="s">
        <v>25</v>
      </c>
      <c r="F16" s="2" t="s">
        <v>18</v>
      </c>
      <c r="G16" t="s">
        <v>19</v>
      </c>
      <c r="H16">
        <v>252</v>
      </c>
      <c r="I16">
        <v>0</v>
      </c>
      <c r="J16">
        <f t="shared" si="0"/>
        <v>252</v>
      </c>
    </row>
    <row r="17" spans="1:10" x14ac:dyDescent="0.3">
      <c r="A17" s="1">
        <v>45785</v>
      </c>
      <c r="B17" t="s">
        <v>23</v>
      </c>
      <c r="C17" t="s">
        <v>26</v>
      </c>
      <c r="D17" t="s">
        <v>27</v>
      </c>
      <c r="E17" t="s">
        <v>25</v>
      </c>
      <c r="F17" s="2" t="s">
        <v>28</v>
      </c>
      <c r="G17" t="s">
        <v>29</v>
      </c>
      <c r="H17">
        <v>0</v>
      </c>
      <c r="I17">
        <v>252</v>
      </c>
      <c r="J17">
        <f t="shared" si="0"/>
        <v>-252</v>
      </c>
    </row>
    <row r="18" spans="1:10" x14ac:dyDescent="0.3">
      <c r="A18" s="1">
        <v>45786</v>
      </c>
      <c r="B18" t="s">
        <v>10</v>
      </c>
      <c r="C18" t="s">
        <v>11</v>
      </c>
      <c r="D18" t="s">
        <v>34</v>
      </c>
      <c r="E18" t="s">
        <v>35</v>
      </c>
      <c r="F18" s="2" t="s">
        <v>36</v>
      </c>
      <c r="G18" t="s">
        <v>37</v>
      </c>
      <c r="H18">
        <v>252</v>
      </c>
      <c r="I18">
        <v>0</v>
      </c>
      <c r="J18">
        <f t="shared" si="0"/>
        <v>252</v>
      </c>
    </row>
    <row r="19" spans="1:10" x14ac:dyDescent="0.3">
      <c r="A19" s="1">
        <v>45786</v>
      </c>
      <c r="B19" t="s">
        <v>10</v>
      </c>
      <c r="C19" t="s">
        <v>32</v>
      </c>
      <c r="D19" t="s">
        <v>17</v>
      </c>
      <c r="E19" t="s">
        <v>35</v>
      </c>
      <c r="F19" s="2" t="s">
        <v>18</v>
      </c>
      <c r="G19" t="s">
        <v>19</v>
      </c>
      <c r="H19">
        <v>0</v>
      </c>
      <c r="I19">
        <v>252</v>
      </c>
      <c r="J19">
        <f t="shared" si="0"/>
        <v>-252</v>
      </c>
    </row>
    <row r="20" spans="1:10" x14ac:dyDescent="0.3">
      <c r="A20" s="1">
        <v>45789</v>
      </c>
      <c r="B20" t="s">
        <v>23</v>
      </c>
      <c r="C20" t="s">
        <v>16</v>
      </c>
      <c r="D20" t="s">
        <v>38</v>
      </c>
      <c r="E20" t="s">
        <v>25</v>
      </c>
      <c r="F20" s="2" t="s">
        <v>18</v>
      </c>
      <c r="G20" t="s">
        <v>19</v>
      </c>
      <c r="H20">
        <v>9.9499999999999993</v>
      </c>
      <c r="I20">
        <v>0</v>
      </c>
      <c r="J20">
        <f t="shared" si="0"/>
        <v>9.9499999999999993</v>
      </c>
    </row>
    <row r="21" spans="1:10" x14ac:dyDescent="0.3">
      <c r="A21" s="1">
        <v>45789</v>
      </c>
      <c r="B21" t="s">
        <v>23</v>
      </c>
      <c r="C21" t="s">
        <v>26</v>
      </c>
      <c r="D21" t="s">
        <v>27</v>
      </c>
      <c r="E21" t="s">
        <v>25</v>
      </c>
      <c r="F21" s="2" t="s">
        <v>28</v>
      </c>
      <c r="G21" t="s">
        <v>29</v>
      </c>
      <c r="H21">
        <v>0</v>
      </c>
      <c r="I21">
        <v>9.9499999999999993</v>
      </c>
      <c r="J21">
        <f t="shared" si="0"/>
        <v>-9.9499999999999993</v>
      </c>
    </row>
    <row r="22" spans="1:10" x14ac:dyDescent="0.3">
      <c r="A22" s="1">
        <v>45791</v>
      </c>
      <c r="B22" t="s">
        <v>23</v>
      </c>
      <c r="C22" t="s">
        <v>26</v>
      </c>
      <c r="D22" t="s">
        <v>39</v>
      </c>
      <c r="E22" t="s">
        <v>25</v>
      </c>
      <c r="F22" s="2" t="s">
        <v>28</v>
      </c>
      <c r="G22" t="s">
        <v>29</v>
      </c>
      <c r="H22">
        <v>2045.2</v>
      </c>
      <c r="I22">
        <v>0</v>
      </c>
      <c r="J22">
        <f t="shared" si="0"/>
        <v>2045.2</v>
      </c>
    </row>
    <row r="23" spans="1:10" x14ac:dyDescent="0.3">
      <c r="A23" s="1">
        <v>45791</v>
      </c>
      <c r="B23" t="s">
        <v>23</v>
      </c>
      <c r="C23" t="s">
        <v>40</v>
      </c>
      <c r="D23" t="s">
        <v>41</v>
      </c>
      <c r="E23" t="s">
        <v>25</v>
      </c>
      <c r="F23" s="2" t="s">
        <v>42</v>
      </c>
      <c r="G23" t="s">
        <v>43</v>
      </c>
      <c r="H23">
        <v>0</v>
      </c>
      <c r="I23">
        <v>2045.2</v>
      </c>
      <c r="J23">
        <f t="shared" si="0"/>
        <v>-2045.2</v>
      </c>
    </row>
    <row r="24" spans="1:10" x14ac:dyDescent="0.3">
      <c r="A24" s="1">
        <v>45791</v>
      </c>
      <c r="B24" t="s">
        <v>23</v>
      </c>
      <c r="C24" t="s">
        <v>44</v>
      </c>
      <c r="D24" t="s">
        <v>45</v>
      </c>
      <c r="E24" t="s">
        <v>25</v>
      </c>
      <c r="F24" s="2" t="s">
        <v>18</v>
      </c>
      <c r="G24" t="s">
        <v>19</v>
      </c>
      <c r="H24">
        <v>1612</v>
      </c>
      <c r="I24">
        <v>0</v>
      </c>
      <c r="J24">
        <f t="shared" si="0"/>
        <v>1612</v>
      </c>
    </row>
    <row r="25" spans="1:10" x14ac:dyDescent="0.3">
      <c r="A25" s="1">
        <v>45791</v>
      </c>
      <c r="B25" t="s">
        <v>23</v>
      </c>
      <c r="C25" t="s">
        <v>26</v>
      </c>
      <c r="D25" t="s">
        <v>27</v>
      </c>
      <c r="E25" t="s">
        <v>25</v>
      </c>
      <c r="F25" s="2" t="s">
        <v>28</v>
      </c>
      <c r="G25" t="s">
        <v>29</v>
      </c>
      <c r="H25">
        <v>0</v>
      </c>
      <c r="I25">
        <v>1612</v>
      </c>
      <c r="J25">
        <f t="shared" si="0"/>
        <v>-1612</v>
      </c>
    </row>
    <row r="26" spans="1:10" x14ac:dyDescent="0.3">
      <c r="A26" s="1">
        <v>45792</v>
      </c>
      <c r="B26" t="s">
        <v>10</v>
      </c>
      <c r="C26" t="s">
        <v>11</v>
      </c>
      <c r="D26" t="s">
        <v>46</v>
      </c>
      <c r="E26" t="s">
        <v>47</v>
      </c>
      <c r="F26" s="2" t="s">
        <v>48</v>
      </c>
      <c r="G26" t="s">
        <v>49</v>
      </c>
      <c r="H26">
        <v>1612</v>
      </c>
      <c r="I26">
        <v>0</v>
      </c>
      <c r="J26">
        <f t="shared" si="0"/>
        <v>1612</v>
      </c>
    </row>
    <row r="27" spans="1:10" x14ac:dyDescent="0.3">
      <c r="A27" s="1">
        <v>45792</v>
      </c>
      <c r="B27" t="s">
        <v>10</v>
      </c>
      <c r="C27" t="s">
        <v>44</v>
      </c>
      <c r="D27" t="s">
        <v>17</v>
      </c>
      <c r="E27" t="s">
        <v>47</v>
      </c>
      <c r="F27" s="2" t="s">
        <v>18</v>
      </c>
      <c r="G27" t="s">
        <v>19</v>
      </c>
      <c r="H27">
        <v>0</v>
      </c>
      <c r="I27">
        <v>1612</v>
      </c>
      <c r="J27">
        <f t="shared" si="0"/>
        <v>-1612</v>
      </c>
    </row>
    <row r="28" spans="1:10" x14ac:dyDescent="0.3">
      <c r="A28" s="1">
        <v>45792</v>
      </c>
      <c r="B28" t="s">
        <v>50</v>
      </c>
      <c r="C28" t="s">
        <v>40</v>
      </c>
      <c r="D28" t="s">
        <v>51</v>
      </c>
      <c r="E28" t="s">
        <v>52</v>
      </c>
      <c r="F28" s="2" t="s">
        <v>42</v>
      </c>
      <c r="G28" t="s">
        <v>43</v>
      </c>
      <c r="H28">
        <v>2045.2</v>
      </c>
      <c r="I28">
        <v>0</v>
      </c>
      <c r="J28">
        <f t="shared" si="0"/>
        <v>2045.2</v>
      </c>
    </row>
    <row r="29" spans="1:10" x14ac:dyDescent="0.3">
      <c r="A29" s="1">
        <v>45792</v>
      </c>
      <c r="B29" t="s">
        <v>50</v>
      </c>
      <c r="C29" t="s">
        <v>53</v>
      </c>
      <c r="D29" t="s">
        <v>54</v>
      </c>
      <c r="E29" t="s">
        <v>52</v>
      </c>
      <c r="F29" s="2" t="s">
        <v>55</v>
      </c>
      <c r="G29" t="s">
        <v>56</v>
      </c>
      <c r="H29">
        <v>0</v>
      </c>
      <c r="I29">
        <v>2045.2</v>
      </c>
      <c r="J29">
        <f t="shared" si="0"/>
        <v>-2045.2</v>
      </c>
    </row>
    <row r="30" spans="1:10" x14ac:dyDescent="0.3">
      <c r="A30" s="1">
        <v>45798</v>
      </c>
      <c r="B30" t="s">
        <v>23</v>
      </c>
      <c r="C30" t="s">
        <v>26</v>
      </c>
      <c r="D30" t="s">
        <v>39</v>
      </c>
      <c r="E30" t="s">
        <v>25</v>
      </c>
      <c r="F30" s="2" t="s">
        <v>28</v>
      </c>
      <c r="G30" t="s">
        <v>29</v>
      </c>
      <c r="H30">
        <v>114.97</v>
      </c>
      <c r="I30">
        <v>0</v>
      </c>
      <c r="J30">
        <f t="shared" si="0"/>
        <v>114.97</v>
      </c>
    </row>
    <row r="31" spans="1:10" x14ac:dyDescent="0.3">
      <c r="A31" s="1">
        <v>45798</v>
      </c>
      <c r="B31" t="s">
        <v>23</v>
      </c>
      <c r="C31" t="s">
        <v>57</v>
      </c>
      <c r="D31" t="s">
        <v>58</v>
      </c>
      <c r="E31" t="s">
        <v>25</v>
      </c>
      <c r="F31" s="2" t="s">
        <v>42</v>
      </c>
      <c r="G31" t="s">
        <v>43</v>
      </c>
      <c r="H31">
        <v>0</v>
      </c>
      <c r="I31">
        <v>114.97</v>
      </c>
      <c r="J31">
        <f t="shared" si="0"/>
        <v>-114.97</v>
      </c>
    </row>
    <row r="32" spans="1:10" x14ac:dyDescent="0.3">
      <c r="A32" s="1">
        <v>45798</v>
      </c>
      <c r="B32" t="s">
        <v>23</v>
      </c>
      <c r="C32" t="s">
        <v>44</v>
      </c>
      <c r="D32" t="s">
        <v>59</v>
      </c>
      <c r="E32" t="s">
        <v>25</v>
      </c>
      <c r="F32" s="2" t="s">
        <v>18</v>
      </c>
      <c r="G32" t="s">
        <v>19</v>
      </c>
      <c r="H32">
        <v>92.13</v>
      </c>
      <c r="I32">
        <v>0</v>
      </c>
      <c r="J32">
        <f t="shared" si="0"/>
        <v>92.13</v>
      </c>
    </row>
    <row r="33" spans="1:10" x14ac:dyDescent="0.3">
      <c r="A33" s="1">
        <v>45798</v>
      </c>
      <c r="B33" t="s">
        <v>23</v>
      </c>
      <c r="C33" t="s">
        <v>26</v>
      </c>
      <c r="D33" t="s">
        <v>27</v>
      </c>
      <c r="E33" t="s">
        <v>25</v>
      </c>
      <c r="F33" s="2" t="s">
        <v>28</v>
      </c>
      <c r="G33" t="s">
        <v>29</v>
      </c>
      <c r="H33">
        <v>0</v>
      </c>
      <c r="I33">
        <v>92.13</v>
      </c>
      <c r="J33">
        <f t="shared" si="0"/>
        <v>-92.13</v>
      </c>
    </row>
    <row r="34" spans="1:10" x14ac:dyDescent="0.3">
      <c r="A34" s="1">
        <v>45799</v>
      </c>
      <c r="B34" t="s">
        <v>10</v>
      </c>
      <c r="C34" t="s">
        <v>11</v>
      </c>
      <c r="D34" t="s">
        <v>46</v>
      </c>
      <c r="E34" t="s">
        <v>60</v>
      </c>
      <c r="F34" s="2" t="s">
        <v>48</v>
      </c>
      <c r="G34" t="s">
        <v>49</v>
      </c>
      <c r="H34">
        <v>92.13</v>
      </c>
      <c r="I34">
        <v>0</v>
      </c>
      <c r="J34">
        <f t="shared" si="0"/>
        <v>92.13</v>
      </c>
    </row>
    <row r="35" spans="1:10" x14ac:dyDescent="0.3">
      <c r="A35" s="1">
        <v>45799</v>
      </c>
      <c r="B35" t="s">
        <v>10</v>
      </c>
      <c r="C35" t="s">
        <v>44</v>
      </c>
      <c r="D35" t="s">
        <v>17</v>
      </c>
      <c r="E35" t="s">
        <v>60</v>
      </c>
      <c r="F35" s="2" t="s">
        <v>18</v>
      </c>
      <c r="G35" t="s">
        <v>19</v>
      </c>
      <c r="H35">
        <v>0</v>
      </c>
      <c r="I35">
        <v>92.13</v>
      </c>
      <c r="J35">
        <f t="shared" si="0"/>
        <v>-92.13</v>
      </c>
    </row>
    <row r="36" spans="1:10" x14ac:dyDescent="0.3">
      <c r="A36" s="1">
        <v>45799</v>
      </c>
      <c r="B36" t="s">
        <v>50</v>
      </c>
      <c r="C36" t="s">
        <v>57</v>
      </c>
      <c r="D36" t="s">
        <v>51</v>
      </c>
      <c r="E36" t="s">
        <v>61</v>
      </c>
      <c r="F36" s="2" t="s">
        <v>42</v>
      </c>
      <c r="G36" t="s">
        <v>43</v>
      </c>
      <c r="H36">
        <v>114.97</v>
      </c>
      <c r="I36">
        <v>0</v>
      </c>
      <c r="J36">
        <f t="shared" si="0"/>
        <v>114.97</v>
      </c>
    </row>
    <row r="37" spans="1:10" x14ac:dyDescent="0.3">
      <c r="A37" s="1">
        <v>45799</v>
      </c>
      <c r="B37" t="s">
        <v>50</v>
      </c>
      <c r="C37" t="s">
        <v>53</v>
      </c>
      <c r="D37" t="s">
        <v>54</v>
      </c>
      <c r="E37" t="s">
        <v>61</v>
      </c>
      <c r="F37" s="2" t="s">
        <v>55</v>
      </c>
      <c r="G37" t="s">
        <v>56</v>
      </c>
      <c r="H37">
        <v>0</v>
      </c>
      <c r="I37">
        <v>114.97</v>
      </c>
      <c r="J37">
        <f t="shared" si="0"/>
        <v>-114.97</v>
      </c>
    </row>
    <row r="38" spans="1:10" x14ac:dyDescent="0.3">
      <c r="A38" s="1">
        <v>45808</v>
      </c>
      <c r="B38" t="s">
        <v>10</v>
      </c>
      <c r="C38" t="s">
        <v>11</v>
      </c>
      <c r="D38" t="s">
        <v>12</v>
      </c>
      <c r="E38" t="s">
        <v>62</v>
      </c>
      <c r="F38" s="2" t="s">
        <v>14</v>
      </c>
      <c r="G38" t="s">
        <v>15</v>
      </c>
      <c r="H38">
        <v>11.78</v>
      </c>
      <c r="I38">
        <v>0</v>
      </c>
      <c r="J38">
        <f t="shared" si="0"/>
        <v>11.78</v>
      </c>
    </row>
    <row r="39" spans="1:10" x14ac:dyDescent="0.3">
      <c r="A39" s="1">
        <v>45808</v>
      </c>
      <c r="B39" t="s">
        <v>10</v>
      </c>
      <c r="C39" t="s">
        <v>16</v>
      </c>
      <c r="D39" t="s">
        <v>17</v>
      </c>
      <c r="E39" t="s">
        <v>62</v>
      </c>
      <c r="F39" s="2" t="s">
        <v>18</v>
      </c>
      <c r="G39" t="s">
        <v>19</v>
      </c>
      <c r="H39">
        <v>0</v>
      </c>
      <c r="I39">
        <v>11.78</v>
      </c>
      <c r="J39">
        <f t="shared" si="0"/>
        <v>-11.78</v>
      </c>
    </row>
    <row r="40" spans="1:10" x14ac:dyDescent="0.3">
      <c r="A40" s="1">
        <v>45818</v>
      </c>
      <c r="B40" t="s">
        <v>23</v>
      </c>
      <c r="C40" t="s">
        <v>16</v>
      </c>
      <c r="D40" t="s">
        <v>63</v>
      </c>
      <c r="E40" t="s">
        <v>25</v>
      </c>
      <c r="F40" s="2" t="s">
        <v>18</v>
      </c>
      <c r="G40" t="s">
        <v>19</v>
      </c>
      <c r="H40">
        <v>11.78</v>
      </c>
      <c r="I40">
        <v>0</v>
      </c>
      <c r="J40">
        <f t="shared" si="0"/>
        <v>11.78</v>
      </c>
    </row>
    <row r="41" spans="1:10" x14ac:dyDescent="0.3">
      <c r="A41" s="1">
        <v>45818</v>
      </c>
      <c r="B41" t="s">
        <v>23</v>
      </c>
      <c r="C41" t="s">
        <v>26</v>
      </c>
      <c r="D41" t="s">
        <v>27</v>
      </c>
      <c r="E41" t="s">
        <v>25</v>
      </c>
      <c r="F41" s="2" t="s">
        <v>28</v>
      </c>
      <c r="G41" t="s">
        <v>29</v>
      </c>
      <c r="H41">
        <v>0</v>
      </c>
      <c r="I41">
        <v>11.78</v>
      </c>
      <c r="J41">
        <f t="shared" si="0"/>
        <v>-11.78</v>
      </c>
    </row>
    <row r="42" spans="1:10" x14ac:dyDescent="0.3">
      <c r="A42" s="1">
        <v>45821</v>
      </c>
      <c r="B42" t="s">
        <v>10</v>
      </c>
      <c r="C42" t="s">
        <v>11</v>
      </c>
      <c r="D42" t="s">
        <v>46</v>
      </c>
      <c r="E42" t="s">
        <v>64</v>
      </c>
      <c r="F42" s="2" t="s">
        <v>48</v>
      </c>
      <c r="G42" t="s">
        <v>49</v>
      </c>
      <c r="H42">
        <v>57.81</v>
      </c>
      <c r="I42">
        <v>0</v>
      </c>
      <c r="J42">
        <f t="shared" si="0"/>
        <v>57.81</v>
      </c>
    </row>
    <row r="43" spans="1:10" x14ac:dyDescent="0.3">
      <c r="A43" s="1">
        <v>45821</v>
      </c>
      <c r="B43" t="s">
        <v>10</v>
      </c>
      <c r="C43" t="s">
        <v>44</v>
      </c>
      <c r="D43" t="s">
        <v>17</v>
      </c>
      <c r="E43" t="s">
        <v>64</v>
      </c>
      <c r="F43" s="2" t="s">
        <v>18</v>
      </c>
      <c r="G43" t="s">
        <v>19</v>
      </c>
      <c r="H43">
        <v>0</v>
      </c>
      <c r="I43">
        <v>57.81</v>
      </c>
      <c r="J43">
        <f t="shared" si="0"/>
        <v>-57.81</v>
      </c>
    </row>
    <row r="44" spans="1:10" x14ac:dyDescent="0.3">
      <c r="A44" s="1">
        <v>45824</v>
      </c>
      <c r="B44" t="s">
        <v>23</v>
      </c>
      <c r="C44" t="s">
        <v>44</v>
      </c>
      <c r="D44" t="s">
        <v>65</v>
      </c>
      <c r="E44" t="s">
        <v>25</v>
      </c>
      <c r="F44" s="2" t="s">
        <v>18</v>
      </c>
      <c r="G44" t="s">
        <v>19</v>
      </c>
      <c r="H44">
        <v>57.81</v>
      </c>
      <c r="I44">
        <v>0</v>
      </c>
      <c r="J44">
        <f t="shared" si="0"/>
        <v>57.81</v>
      </c>
    </row>
    <row r="45" spans="1:10" x14ac:dyDescent="0.3">
      <c r="A45" s="1">
        <v>45824</v>
      </c>
      <c r="B45" t="s">
        <v>23</v>
      </c>
      <c r="C45" t="s">
        <v>26</v>
      </c>
      <c r="D45" t="s">
        <v>27</v>
      </c>
      <c r="E45" t="s">
        <v>25</v>
      </c>
      <c r="F45" s="2" t="s">
        <v>28</v>
      </c>
      <c r="G45" t="s">
        <v>29</v>
      </c>
      <c r="H45">
        <v>0</v>
      </c>
      <c r="I45">
        <v>57.81</v>
      </c>
      <c r="J45">
        <f t="shared" si="0"/>
        <v>-57.81</v>
      </c>
    </row>
    <row r="46" spans="1:10" x14ac:dyDescent="0.3">
      <c r="A46" s="1">
        <v>45825</v>
      </c>
      <c r="B46" t="s">
        <v>50</v>
      </c>
      <c r="C46" t="s">
        <v>66</v>
      </c>
      <c r="D46" t="s">
        <v>51</v>
      </c>
      <c r="E46" t="s">
        <v>67</v>
      </c>
      <c r="F46" s="2" t="s">
        <v>42</v>
      </c>
      <c r="G46" t="s">
        <v>43</v>
      </c>
      <c r="H46">
        <v>59.7</v>
      </c>
      <c r="I46">
        <v>0</v>
      </c>
      <c r="J46">
        <f t="shared" si="0"/>
        <v>59.7</v>
      </c>
    </row>
    <row r="47" spans="1:10" x14ac:dyDescent="0.3">
      <c r="A47" s="1">
        <v>45825</v>
      </c>
      <c r="B47" t="s">
        <v>50</v>
      </c>
      <c r="C47" t="s">
        <v>53</v>
      </c>
      <c r="D47" t="s">
        <v>54</v>
      </c>
      <c r="E47" t="s">
        <v>67</v>
      </c>
      <c r="F47" s="2" t="s">
        <v>55</v>
      </c>
      <c r="G47" t="s">
        <v>56</v>
      </c>
      <c r="H47">
        <v>0</v>
      </c>
      <c r="I47">
        <v>59.7</v>
      </c>
      <c r="J47">
        <f t="shared" si="0"/>
        <v>-59.7</v>
      </c>
    </row>
    <row r="48" spans="1:10" x14ac:dyDescent="0.3">
      <c r="A48" s="1">
        <v>45825</v>
      </c>
      <c r="B48" t="s">
        <v>23</v>
      </c>
      <c r="C48" t="s">
        <v>26</v>
      </c>
      <c r="D48" t="s">
        <v>39</v>
      </c>
      <c r="E48" t="s">
        <v>25</v>
      </c>
      <c r="F48" s="2" t="s">
        <v>28</v>
      </c>
      <c r="G48" t="s">
        <v>29</v>
      </c>
      <c r="H48">
        <v>59.7</v>
      </c>
      <c r="I48">
        <v>0</v>
      </c>
      <c r="J48">
        <f t="shared" si="0"/>
        <v>59.7</v>
      </c>
    </row>
    <row r="49" spans="1:10" x14ac:dyDescent="0.3">
      <c r="A49" s="1">
        <v>45825</v>
      </c>
      <c r="B49" t="s">
        <v>23</v>
      </c>
      <c r="C49" t="s">
        <v>66</v>
      </c>
      <c r="D49" t="s">
        <v>68</v>
      </c>
      <c r="E49" t="s">
        <v>25</v>
      </c>
      <c r="F49" s="2" t="s">
        <v>42</v>
      </c>
      <c r="G49" t="s">
        <v>43</v>
      </c>
      <c r="H49">
        <v>0</v>
      </c>
      <c r="I49">
        <v>59.7</v>
      </c>
      <c r="J49">
        <f t="shared" si="0"/>
        <v>-59.7</v>
      </c>
    </row>
    <row r="50" spans="1:10" x14ac:dyDescent="0.3">
      <c r="A50" s="1">
        <v>45838</v>
      </c>
      <c r="B50" t="s">
        <v>10</v>
      </c>
      <c r="C50" t="s">
        <v>11</v>
      </c>
      <c r="D50" t="s">
        <v>12</v>
      </c>
      <c r="E50" t="s">
        <v>69</v>
      </c>
      <c r="F50" s="2" t="s">
        <v>14</v>
      </c>
      <c r="G50" t="s">
        <v>15</v>
      </c>
      <c r="H50">
        <v>10.38</v>
      </c>
      <c r="I50">
        <v>0</v>
      </c>
      <c r="J50">
        <f t="shared" si="0"/>
        <v>10.38</v>
      </c>
    </row>
    <row r="51" spans="1:10" x14ac:dyDescent="0.3">
      <c r="A51" s="1">
        <v>45838</v>
      </c>
      <c r="B51" t="s">
        <v>10</v>
      </c>
      <c r="C51" t="s">
        <v>16</v>
      </c>
      <c r="D51" t="s">
        <v>17</v>
      </c>
      <c r="E51" t="s">
        <v>69</v>
      </c>
      <c r="F51" s="2" t="s">
        <v>18</v>
      </c>
      <c r="G51" t="s">
        <v>19</v>
      </c>
      <c r="H51">
        <v>0</v>
      </c>
      <c r="I51">
        <v>10.38</v>
      </c>
      <c r="J51">
        <f t="shared" si="0"/>
        <v>-10.38</v>
      </c>
    </row>
    <row r="52" spans="1:10" x14ac:dyDescent="0.3">
      <c r="A52" s="1">
        <v>45841</v>
      </c>
      <c r="B52" t="s">
        <v>10</v>
      </c>
      <c r="C52" t="s">
        <v>11</v>
      </c>
      <c r="D52" t="s">
        <v>46</v>
      </c>
      <c r="E52" t="s">
        <v>70</v>
      </c>
      <c r="F52" s="2" t="s">
        <v>48</v>
      </c>
      <c r="G52" t="s">
        <v>49</v>
      </c>
      <c r="H52">
        <v>96.25</v>
      </c>
      <c r="I52">
        <v>0</v>
      </c>
      <c r="J52">
        <f t="shared" si="0"/>
        <v>96.25</v>
      </c>
    </row>
    <row r="53" spans="1:10" x14ac:dyDescent="0.3">
      <c r="A53" s="1">
        <v>45841</v>
      </c>
      <c r="B53" t="s">
        <v>10</v>
      </c>
      <c r="C53" t="s">
        <v>44</v>
      </c>
      <c r="D53" t="s">
        <v>17</v>
      </c>
      <c r="E53" t="s">
        <v>70</v>
      </c>
      <c r="F53" s="2" t="s">
        <v>18</v>
      </c>
      <c r="G53" t="s">
        <v>19</v>
      </c>
      <c r="H53">
        <v>0</v>
      </c>
      <c r="I53">
        <v>96.25</v>
      </c>
      <c r="J53">
        <f t="shared" si="0"/>
        <v>-96.25</v>
      </c>
    </row>
    <row r="54" spans="1:10" x14ac:dyDescent="0.3">
      <c r="A54" s="1">
        <v>45841</v>
      </c>
      <c r="B54" t="s">
        <v>50</v>
      </c>
      <c r="C54" t="s">
        <v>71</v>
      </c>
      <c r="D54" t="s">
        <v>51</v>
      </c>
      <c r="E54" t="s">
        <v>72</v>
      </c>
      <c r="F54" s="2" t="s">
        <v>42</v>
      </c>
      <c r="G54" t="s">
        <v>43</v>
      </c>
      <c r="H54">
        <v>113.4</v>
      </c>
      <c r="I54">
        <v>0</v>
      </c>
      <c r="J54">
        <f t="shared" si="0"/>
        <v>113.4</v>
      </c>
    </row>
    <row r="55" spans="1:10" x14ac:dyDescent="0.3">
      <c r="A55" s="1">
        <v>45841</v>
      </c>
      <c r="B55" t="s">
        <v>50</v>
      </c>
      <c r="C55" t="s">
        <v>53</v>
      </c>
      <c r="D55" t="s">
        <v>54</v>
      </c>
      <c r="E55" t="s">
        <v>72</v>
      </c>
      <c r="F55" s="2" t="s">
        <v>55</v>
      </c>
      <c r="G55" t="s">
        <v>56</v>
      </c>
      <c r="H55">
        <v>0</v>
      </c>
      <c r="I55">
        <v>113.4</v>
      </c>
      <c r="J55">
        <f t="shared" si="0"/>
        <v>-113.4</v>
      </c>
    </row>
    <row r="56" spans="1:10" x14ac:dyDescent="0.3">
      <c r="A56" s="1">
        <v>45841</v>
      </c>
      <c r="B56" t="s">
        <v>23</v>
      </c>
      <c r="C56" t="s">
        <v>26</v>
      </c>
      <c r="D56" t="s">
        <v>39</v>
      </c>
      <c r="E56" t="s">
        <v>25</v>
      </c>
      <c r="F56" s="2" t="s">
        <v>28</v>
      </c>
      <c r="G56" t="s">
        <v>29</v>
      </c>
      <c r="H56">
        <v>113.4</v>
      </c>
      <c r="I56">
        <v>0</v>
      </c>
      <c r="J56">
        <f t="shared" si="0"/>
        <v>113.4</v>
      </c>
    </row>
    <row r="57" spans="1:10" x14ac:dyDescent="0.3">
      <c r="A57" s="1">
        <v>45841</v>
      </c>
      <c r="B57" t="s">
        <v>23</v>
      </c>
      <c r="C57" t="s">
        <v>71</v>
      </c>
      <c r="D57" t="s">
        <v>73</v>
      </c>
      <c r="E57" t="s">
        <v>25</v>
      </c>
      <c r="F57" s="2" t="s">
        <v>42</v>
      </c>
      <c r="G57" t="s">
        <v>43</v>
      </c>
      <c r="H57">
        <v>0</v>
      </c>
      <c r="I57">
        <v>113.4</v>
      </c>
      <c r="J57">
        <f t="shared" si="0"/>
        <v>-113.4</v>
      </c>
    </row>
    <row r="58" spans="1:10" x14ac:dyDescent="0.3">
      <c r="A58" s="1">
        <v>45842</v>
      </c>
      <c r="B58" t="s">
        <v>23</v>
      </c>
      <c r="C58" t="s">
        <v>44</v>
      </c>
      <c r="D58" t="s">
        <v>74</v>
      </c>
      <c r="E58" t="s">
        <v>25</v>
      </c>
      <c r="F58" s="2" t="s">
        <v>18</v>
      </c>
      <c r="G58" t="s">
        <v>19</v>
      </c>
      <c r="H58">
        <v>96.25</v>
      </c>
      <c r="I58">
        <v>0</v>
      </c>
      <c r="J58">
        <f t="shared" si="0"/>
        <v>96.25</v>
      </c>
    </row>
    <row r="59" spans="1:10" x14ac:dyDescent="0.3">
      <c r="A59" s="1">
        <v>45842</v>
      </c>
      <c r="B59" t="s">
        <v>23</v>
      </c>
      <c r="C59" t="s">
        <v>26</v>
      </c>
      <c r="D59" t="s">
        <v>27</v>
      </c>
      <c r="E59" t="s">
        <v>25</v>
      </c>
      <c r="F59" s="2" t="s">
        <v>28</v>
      </c>
      <c r="G59" t="s">
        <v>29</v>
      </c>
      <c r="H59">
        <v>0</v>
      </c>
      <c r="I59">
        <v>96.25</v>
      </c>
      <c r="J59">
        <f t="shared" si="0"/>
        <v>-96.25</v>
      </c>
    </row>
    <row r="60" spans="1:10" x14ac:dyDescent="0.3">
      <c r="A60" s="1">
        <v>45848</v>
      </c>
      <c r="B60" t="s">
        <v>23</v>
      </c>
      <c r="C60" t="s">
        <v>16</v>
      </c>
      <c r="D60" t="s">
        <v>75</v>
      </c>
      <c r="E60" t="s">
        <v>25</v>
      </c>
      <c r="F60" s="2" t="s">
        <v>18</v>
      </c>
      <c r="G60" t="s">
        <v>19</v>
      </c>
      <c r="H60">
        <v>10.38</v>
      </c>
      <c r="I60">
        <v>0</v>
      </c>
      <c r="J60">
        <f t="shared" si="0"/>
        <v>10.38</v>
      </c>
    </row>
    <row r="61" spans="1:10" x14ac:dyDescent="0.3">
      <c r="A61" s="1">
        <v>45848</v>
      </c>
      <c r="B61" t="s">
        <v>23</v>
      </c>
      <c r="C61" t="s">
        <v>26</v>
      </c>
      <c r="D61" t="s">
        <v>27</v>
      </c>
      <c r="E61" t="s">
        <v>25</v>
      </c>
      <c r="F61" s="2" t="s">
        <v>28</v>
      </c>
      <c r="G61" t="s">
        <v>29</v>
      </c>
      <c r="H61">
        <v>0</v>
      </c>
      <c r="I61">
        <v>10.38</v>
      </c>
      <c r="J61">
        <f t="shared" si="0"/>
        <v>-10.38</v>
      </c>
    </row>
    <row r="62" spans="1:10" x14ac:dyDescent="0.3">
      <c r="A62" s="1">
        <v>45869</v>
      </c>
      <c r="B62" t="s">
        <v>10</v>
      </c>
      <c r="C62" t="s">
        <v>11</v>
      </c>
      <c r="D62" t="s">
        <v>12</v>
      </c>
      <c r="E62" t="s">
        <v>76</v>
      </c>
      <c r="F62" s="2" t="s">
        <v>14</v>
      </c>
      <c r="G62" t="s">
        <v>15</v>
      </c>
      <c r="H62">
        <v>10.54</v>
      </c>
      <c r="I62">
        <v>0</v>
      </c>
      <c r="J62">
        <f t="shared" si="0"/>
        <v>10.54</v>
      </c>
    </row>
    <row r="63" spans="1:10" x14ac:dyDescent="0.3">
      <c r="A63" s="1">
        <v>45869</v>
      </c>
      <c r="B63" t="s">
        <v>10</v>
      </c>
      <c r="C63" t="s">
        <v>16</v>
      </c>
      <c r="D63" t="s">
        <v>17</v>
      </c>
      <c r="E63" t="s">
        <v>76</v>
      </c>
      <c r="F63" s="2" t="s">
        <v>18</v>
      </c>
      <c r="G63" t="s">
        <v>19</v>
      </c>
      <c r="H63">
        <v>0</v>
      </c>
      <c r="I63">
        <v>10.54</v>
      </c>
      <c r="J63">
        <f t="shared" si="0"/>
        <v>-10.54</v>
      </c>
    </row>
    <row r="64" spans="1:10" x14ac:dyDescent="0.3">
      <c r="A64" s="1">
        <v>45880</v>
      </c>
      <c r="B64" t="s">
        <v>23</v>
      </c>
      <c r="C64" t="s">
        <v>16</v>
      </c>
      <c r="D64" t="s">
        <v>77</v>
      </c>
      <c r="E64" t="s">
        <v>25</v>
      </c>
      <c r="F64" s="2" t="s">
        <v>18</v>
      </c>
      <c r="G64" t="s">
        <v>19</v>
      </c>
      <c r="H64">
        <v>10.54</v>
      </c>
      <c r="I64">
        <v>0</v>
      </c>
      <c r="J64">
        <f t="shared" si="0"/>
        <v>10.54</v>
      </c>
    </row>
    <row r="65" spans="1:10" x14ac:dyDescent="0.3">
      <c r="A65" s="1">
        <v>45880</v>
      </c>
      <c r="B65" t="s">
        <v>23</v>
      </c>
      <c r="C65" t="s">
        <v>26</v>
      </c>
      <c r="D65" t="s">
        <v>27</v>
      </c>
      <c r="E65" t="s">
        <v>25</v>
      </c>
      <c r="F65" s="2" t="s">
        <v>28</v>
      </c>
      <c r="G65" t="s">
        <v>29</v>
      </c>
      <c r="H65">
        <v>0</v>
      </c>
      <c r="I65">
        <v>10.54</v>
      </c>
      <c r="J65">
        <f t="shared" si="0"/>
        <v>-10.54</v>
      </c>
    </row>
    <row r="66" spans="1:10" x14ac:dyDescent="0.3">
      <c r="A66" s="1">
        <v>45895</v>
      </c>
      <c r="B66" t="s">
        <v>23</v>
      </c>
      <c r="C66" t="s">
        <v>26</v>
      </c>
      <c r="D66" t="s">
        <v>39</v>
      </c>
      <c r="E66" t="s">
        <v>25</v>
      </c>
      <c r="F66" s="2" t="s">
        <v>28</v>
      </c>
      <c r="G66" t="s">
        <v>29</v>
      </c>
      <c r="H66">
        <v>340.2</v>
      </c>
      <c r="I66">
        <v>0</v>
      </c>
      <c r="J66">
        <f t="shared" si="0"/>
        <v>340.2</v>
      </c>
    </row>
    <row r="67" spans="1:10" x14ac:dyDescent="0.3">
      <c r="A67" s="1">
        <v>45895</v>
      </c>
      <c r="B67" t="s">
        <v>23</v>
      </c>
      <c r="C67" t="s">
        <v>78</v>
      </c>
      <c r="D67" t="s">
        <v>79</v>
      </c>
      <c r="E67" t="s">
        <v>25</v>
      </c>
      <c r="F67" s="2" t="s">
        <v>42</v>
      </c>
      <c r="G67" t="s">
        <v>43</v>
      </c>
      <c r="H67">
        <v>0</v>
      </c>
      <c r="I67">
        <v>340.2</v>
      </c>
      <c r="J67">
        <f t="shared" ref="J67:J130" si="1">H67-I67</f>
        <v>-340.2</v>
      </c>
    </row>
    <row r="68" spans="1:10" x14ac:dyDescent="0.3">
      <c r="A68" s="1">
        <v>45896</v>
      </c>
      <c r="B68" t="s">
        <v>10</v>
      </c>
      <c r="C68" t="s">
        <v>11</v>
      </c>
      <c r="D68" t="s">
        <v>46</v>
      </c>
      <c r="E68" t="s">
        <v>80</v>
      </c>
      <c r="F68" s="2" t="s">
        <v>48</v>
      </c>
      <c r="G68" t="s">
        <v>49</v>
      </c>
      <c r="H68">
        <v>270</v>
      </c>
      <c r="I68">
        <v>0</v>
      </c>
      <c r="J68">
        <f t="shared" si="1"/>
        <v>270</v>
      </c>
    </row>
    <row r="69" spans="1:10" x14ac:dyDescent="0.3">
      <c r="A69" s="1">
        <v>45896</v>
      </c>
      <c r="B69" t="s">
        <v>10</v>
      </c>
      <c r="C69" t="s">
        <v>44</v>
      </c>
      <c r="D69" t="s">
        <v>17</v>
      </c>
      <c r="E69" t="s">
        <v>80</v>
      </c>
      <c r="F69" s="2" t="s">
        <v>18</v>
      </c>
      <c r="G69" t="s">
        <v>19</v>
      </c>
      <c r="H69">
        <v>0</v>
      </c>
      <c r="I69">
        <v>270</v>
      </c>
      <c r="J69">
        <f t="shared" si="1"/>
        <v>-270</v>
      </c>
    </row>
    <row r="70" spans="1:10" x14ac:dyDescent="0.3">
      <c r="A70" s="1">
        <v>45896</v>
      </c>
      <c r="B70" t="s">
        <v>50</v>
      </c>
      <c r="C70" t="s">
        <v>78</v>
      </c>
      <c r="D70" t="s">
        <v>51</v>
      </c>
      <c r="E70" t="s">
        <v>81</v>
      </c>
      <c r="F70" s="2" t="s">
        <v>42</v>
      </c>
      <c r="G70" t="s">
        <v>43</v>
      </c>
      <c r="H70">
        <v>340.2</v>
      </c>
      <c r="I70">
        <v>0</v>
      </c>
      <c r="J70">
        <f t="shared" si="1"/>
        <v>340.2</v>
      </c>
    </row>
    <row r="71" spans="1:10" x14ac:dyDescent="0.3">
      <c r="A71" s="1">
        <v>45896</v>
      </c>
      <c r="B71" t="s">
        <v>50</v>
      </c>
      <c r="C71" t="s">
        <v>53</v>
      </c>
      <c r="D71" t="s">
        <v>54</v>
      </c>
      <c r="E71" t="s">
        <v>81</v>
      </c>
      <c r="F71" s="2" t="s">
        <v>55</v>
      </c>
      <c r="G71" t="s">
        <v>56</v>
      </c>
      <c r="H71">
        <v>0</v>
      </c>
      <c r="I71">
        <v>340.2</v>
      </c>
      <c r="J71">
        <f t="shared" si="1"/>
        <v>-340.2</v>
      </c>
    </row>
    <row r="72" spans="1:10" x14ac:dyDescent="0.3">
      <c r="A72" s="1">
        <v>45896</v>
      </c>
      <c r="B72" t="s">
        <v>23</v>
      </c>
      <c r="C72" t="s">
        <v>44</v>
      </c>
      <c r="D72" t="s">
        <v>82</v>
      </c>
      <c r="E72" t="s">
        <v>25</v>
      </c>
      <c r="F72" s="2" t="s">
        <v>18</v>
      </c>
      <c r="G72" t="s">
        <v>19</v>
      </c>
      <c r="H72">
        <v>270</v>
      </c>
      <c r="I72">
        <v>0</v>
      </c>
      <c r="J72">
        <f t="shared" si="1"/>
        <v>270</v>
      </c>
    </row>
    <row r="73" spans="1:10" x14ac:dyDescent="0.3">
      <c r="A73" s="1">
        <v>45896</v>
      </c>
      <c r="B73" t="s">
        <v>23</v>
      </c>
      <c r="C73" t="s">
        <v>26</v>
      </c>
      <c r="D73" t="s">
        <v>27</v>
      </c>
      <c r="E73" t="s">
        <v>25</v>
      </c>
      <c r="F73" s="2" t="s">
        <v>28</v>
      </c>
      <c r="G73" t="s">
        <v>29</v>
      </c>
      <c r="H73">
        <v>0</v>
      </c>
      <c r="I73">
        <v>270</v>
      </c>
      <c r="J73">
        <f t="shared" si="1"/>
        <v>-270</v>
      </c>
    </row>
    <row r="74" spans="1:10" x14ac:dyDescent="0.3">
      <c r="A74" s="1">
        <v>45900</v>
      </c>
      <c r="B74" t="s">
        <v>10</v>
      </c>
      <c r="C74" t="s">
        <v>11</v>
      </c>
      <c r="D74" t="s">
        <v>12</v>
      </c>
      <c r="E74" t="s">
        <v>83</v>
      </c>
      <c r="F74" s="2" t="s">
        <v>14</v>
      </c>
      <c r="G74" t="s">
        <v>15</v>
      </c>
      <c r="H74">
        <v>10.38</v>
      </c>
      <c r="I74">
        <v>0</v>
      </c>
      <c r="J74">
        <f t="shared" si="1"/>
        <v>10.38</v>
      </c>
    </row>
    <row r="75" spans="1:10" x14ac:dyDescent="0.3">
      <c r="A75" s="1">
        <v>45900</v>
      </c>
      <c r="B75" t="s">
        <v>10</v>
      </c>
      <c r="C75" t="s">
        <v>16</v>
      </c>
      <c r="D75" t="s">
        <v>17</v>
      </c>
      <c r="E75" t="s">
        <v>83</v>
      </c>
      <c r="F75" s="2" t="s">
        <v>18</v>
      </c>
      <c r="G75" t="s">
        <v>19</v>
      </c>
      <c r="H75">
        <v>0</v>
      </c>
      <c r="I75">
        <v>10.38</v>
      </c>
      <c r="J75">
        <f t="shared" si="1"/>
        <v>-10.38</v>
      </c>
    </row>
    <row r="76" spans="1:10" x14ac:dyDescent="0.3">
      <c r="A76" s="1">
        <v>45903</v>
      </c>
      <c r="B76" t="s">
        <v>23</v>
      </c>
      <c r="C76" t="s">
        <v>32</v>
      </c>
      <c r="D76" t="s">
        <v>84</v>
      </c>
      <c r="E76" t="s">
        <v>25</v>
      </c>
      <c r="F76" s="2" t="s">
        <v>18</v>
      </c>
      <c r="G76" t="s">
        <v>19</v>
      </c>
      <c r="H76">
        <v>269</v>
      </c>
      <c r="I76">
        <v>0</v>
      </c>
      <c r="J76">
        <f t="shared" si="1"/>
        <v>269</v>
      </c>
    </row>
    <row r="77" spans="1:10" x14ac:dyDescent="0.3">
      <c r="A77" s="1">
        <v>45903</v>
      </c>
      <c r="B77" t="s">
        <v>23</v>
      </c>
      <c r="C77" t="s">
        <v>26</v>
      </c>
      <c r="D77" t="s">
        <v>27</v>
      </c>
      <c r="E77" t="s">
        <v>25</v>
      </c>
      <c r="F77" s="2" t="s">
        <v>28</v>
      </c>
      <c r="G77" t="s">
        <v>29</v>
      </c>
      <c r="H77">
        <v>0</v>
      </c>
      <c r="I77">
        <v>269</v>
      </c>
      <c r="J77">
        <f t="shared" si="1"/>
        <v>-269</v>
      </c>
    </row>
    <row r="78" spans="1:10" x14ac:dyDescent="0.3">
      <c r="A78" s="1">
        <v>45904</v>
      </c>
      <c r="B78" t="s">
        <v>10</v>
      </c>
      <c r="C78" t="s">
        <v>11</v>
      </c>
      <c r="D78" t="s">
        <v>34</v>
      </c>
      <c r="E78" t="s">
        <v>85</v>
      </c>
      <c r="F78" s="2" t="s">
        <v>36</v>
      </c>
      <c r="G78" t="s">
        <v>37</v>
      </c>
      <c r="H78">
        <v>269</v>
      </c>
      <c r="I78">
        <v>0</v>
      </c>
      <c r="J78">
        <f t="shared" si="1"/>
        <v>269</v>
      </c>
    </row>
    <row r="79" spans="1:10" x14ac:dyDescent="0.3">
      <c r="A79" s="1">
        <v>45904</v>
      </c>
      <c r="B79" t="s">
        <v>10</v>
      </c>
      <c r="C79" t="s">
        <v>32</v>
      </c>
      <c r="D79" t="s">
        <v>17</v>
      </c>
      <c r="E79" t="s">
        <v>85</v>
      </c>
      <c r="F79" s="2" t="s">
        <v>18</v>
      </c>
      <c r="G79" t="s">
        <v>19</v>
      </c>
      <c r="H79">
        <v>0</v>
      </c>
      <c r="I79">
        <v>269</v>
      </c>
      <c r="J79">
        <f t="shared" si="1"/>
        <v>-269</v>
      </c>
    </row>
    <row r="80" spans="1:10" x14ac:dyDescent="0.3">
      <c r="A80" s="1">
        <v>45908</v>
      </c>
      <c r="B80" t="s">
        <v>10</v>
      </c>
      <c r="C80" t="s">
        <v>11</v>
      </c>
      <c r="D80" t="s">
        <v>46</v>
      </c>
      <c r="E80" t="s">
        <v>86</v>
      </c>
      <c r="F80" s="2" t="s">
        <v>48</v>
      </c>
      <c r="G80" t="s">
        <v>49</v>
      </c>
      <c r="H80">
        <v>135</v>
      </c>
      <c r="I80">
        <v>0</v>
      </c>
      <c r="J80">
        <f t="shared" si="1"/>
        <v>135</v>
      </c>
    </row>
    <row r="81" spans="1:10" x14ac:dyDescent="0.3">
      <c r="A81" s="1">
        <v>45908</v>
      </c>
      <c r="B81" t="s">
        <v>10</v>
      </c>
      <c r="C81" t="s">
        <v>44</v>
      </c>
      <c r="D81" t="s">
        <v>17</v>
      </c>
      <c r="E81" t="s">
        <v>86</v>
      </c>
      <c r="F81" s="2" t="s">
        <v>18</v>
      </c>
      <c r="G81" t="s">
        <v>19</v>
      </c>
      <c r="H81">
        <v>0</v>
      </c>
      <c r="I81">
        <v>135</v>
      </c>
      <c r="J81">
        <f t="shared" si="1"/>
        <v>-135</v>
      </c>
    </row>
    <row r="82" spans="1:10" x14ac:dyDescent="0.3">
      <c r="A82" s="1">
        <v>45908</v>
      </c>
      <c r="B82" t="s">
        <v>23</v>
      </c>
      <c r="C82" t="s">
        <v>26</v>
      </c>
      <c r="D82" t="s">
        <v>39</v>
      </c>
      <c r="E82" t="s">
        <v>25</v>
      </c>
      <c r="F82" s="2" t="s">
        <v>28</v>
      </c>
      <c r="G82" t="s">
        <v>29</v>
      </c>
      <c r="H82">
        <v>170.1</v>
      </c>
      <c r="I82">
        <v>0</v>
      </c>
      <c r="J82">
        <f t="shared" si="1"/>
        <v>170.1</v>
      </c>
    </row>
    <row r="83" spans="1:10" x14ac:dyDescent="0.3">
      <c r="A83" s="1">
        <v>45908</v>
      </c>
      <c r="B83" t="s">
        <v>23</v>
      </c>
      <c r="C83" t="s">
        <v>78</v>
      </c>
      <c r="D83" t="s">
        <v>87</v>
      </c>
      <c r="E83" t="s">
        <v>25</v>
      </c>
      <c r="F83" s="2" t="s">
        <v>42</v>
      </c>
      <c r="G83" t="s">
        <v>43</v>
      </c>
      <c r="H83">
        <v>0</v>
      </c>
      <c r="I83">
        <v>170.1</v>
      </c>
      <c r="J83">
        <f t="shared" si="1"/>
        <v>-170.1</v>
      </c>
    </row>
    <row r="84" spans="1:10" x14ac:dyDescent="0.3">
      <c r="A84" s="1">
        <v>45909</v>
      </c>
      <c r="B84" t="s">
        <v>50</v>
      </c>
      <c r="C84" t="s">
        <v>78</v>
      </c>
      <c r="D84" t="s">
        <v>51</v>
      </c>
      <c r="E84" t="s">
        <v>88</v>
      </c>
      <c r="F84" s="2" t="s">
        <v>42</v>
      </c>
      <c r="G84" t="s">
        <v>43</v>
      </c>
      <c r="H84">
        <v>170.1</v>
      </c>
      <c r="I84">
        <v>0</v>
      </c>
      <c r="J84">
        <f t="shared" si="1"/>
        <v>170.1</v>
      </c>
    </row>
    <row r="85" spans="1:10" x14ac:dyDescent="0.3">
      <c r="A85" s="1">
        <v>45909</v>
      </c>
      <c r="B85" t="s">
        <v>50</v>
      </c>
      <c r="C85" t="s">
        <v>53</v>
      </c>
      <c r="D85" t="s">
        <v>54</v>
      </c>
      <c r="E85" t="s">
        <v>88</v>
      </c>
      <c r="F85" s="2" t="s">
        <v>55</v>
      </c>
      <c r="G85" t="s">
        <v>56</v>
      </c>
      <c r="H85">
        <v>0</v>
      </c>
      <c r="I85">
        <v>170.1</v>
      </c>
      <c r="J85">
        <f t="shared" si="1"/>
        <v>-170.1</v>
      </c>
    </row>
    <row r="86" spans="1:10" x14ac:dyDescent="0.3">
      <c r="A86" s="1">
        <v>45909</v>
      </c>
      <c r="B86" t="s">
        <v>23</v>
      </c>
      <c r="C86" t="s">
        <v>44</v>
      </c>
      <c r="D86" t="s">
        <v>89</v>
      </c>
      <c r="E86" t="s">
        <v>25</v>
      </c>
      <c r="F86" s="2" t="s">
        <v>18</v>
      </c>
      <c r="G86" t="s">
        <v>19</v>
      </c>
      <c r="H86">
        <v>135</v>
      </c>
      <c r="I86">
        <v>0</v>
      </c>
      <c r="J86">
        <f t="shared" si="1"/>
        <v>135</v>
      </c>
    </row>
    <row r="87" spans="1:10" x14ac:dyDescent="0.3">
      <c r="A87" s="1">
        <v>45909</v>
      </c>
      <c r="B87" t="s">
        <v>23</v>
      </c>
      <c r="C87" t="s">
        <v>26</v>
      </c>
      <c r="D87" t="s">
        <v>27</v>
      </c>
      <c r="E87" t="s">
        <v>25</v>
      </c>
      <c r="F87" s="2" t="s">
        <v>28</v>
      </c>
      <c r="G87" t="s">
        <v>29</v>
      </c>
      <c r="H87">
        <v>0</v>
      </c>
      <c r="I87">
        <v>135</v>
      </c>
      <c r="J87">
        <f t="shared" si="1"/>
        <v>-135</v>
      </c>
    </row>
    <row r="88" spans="1:10" x14ac:dyDescent="0.3">
      <c r="A88" s="1">
        <v>45910</v>
      </c>
      <c r="B88" t="s">
        <v>23</v>
      </c>
      <c r="C88" t="s">
        <v>16</v>
      </c>
      <c r="D88" t="s">
        <v>90</v>
      </c>
      <c r="E88" t="s">
        <v>25</v>
      </c>
      <c r="F88" s="2" t="s">
        <v>18</v>
      </c>
      <c r="G88" t="s">
        <v>19</v>
      </c>
      <c r="H88">
        <v>10.38</v>
      </c>
      <c r="I88">
        <v>0</v>
      </c>
      <c r="J88">
        <f t="shared" si="1"/>
        <v>10.38</v>
      </c>
    </row>
    <row r="89" spans="1:10" x14ac:dyDescent="0.3">
      <c r="A89" s="1">
        <v>45910</v>
      </c>
      <c r="B89" t="s">
        <v>23</v>
      </c>
      <c r="C89" t="s">
        <v>26</v>
      </c>
      <c r="D89" t="s">
        <v>27</v>
      </c>
      <c r="E89" t="s">
        <v>25</v>
      </c>
      <c r="F89" s="2" t="s">
        <v>28</v>
      </c>
      <c r="G89" t="s">
        <v>29</v>
      </c>
      <c r="H89">
        <v>0</v>
      </c>
      <c r="I89">
        <v>10.38</v>
      </c>
      <c r="J89">
        <f t="shared" si="1"/>
        <v>-10.38</v>
      </c>
    </row>
    <row r="90" spans="1:10" x14ac:dyDescent="0.3">
      <c r="A90" s="1">
        <v>45922</v>
      </c>
      <c r="B90" t="s">
        <v>23</v>
      </c>
      <c r="C90" t="s">
        <v>26</v>
      </c>
      <c r="D90" t="s">
        <v>39</v>
      </c>
      <c r="E90" t="s">
        <v>25</v>
      </c>
      <c r="F90" s="2" t="s">
        <v>28</v>
      </c>
      <c r="G90" t="s">
        <v>29</v>
      </c>
      <c r="H90">
        <v>8360.86</v>
      </c>
      <c r="I90">
        <v>0</v>
      </c>
      <c r="J90">
        <f t="shared" si="1"/>
        <v>8360.86</v>
      </c>
    </row>
    <row r="91" spans="1:10" x14ac:dyDescent="0.3">
      <c r="A91" s="1">
        <v>45922</v>
      </c>
      <c r="B91" t="s">
        <v>23</v>
      </c>
      <c r="C91" t="s">
        <v>91</v>
      </c>
      <c r="D91" t="s">
        <v>92</v>
      </c>
      <c r="E91" t="s">
        <v>25</v>
      </c>
      <c r="F91" s="2" t="s">
        <v>42</v>
      </c>
      <c r="G91" t="s">
        <v>43</v>
      </c>
      <c r="H91">
        <v>0</v>
      </c>
      <c r="I91">
        <v>8360.86</v>
      </c>
      <c r="J91">
        <f t="shared" si="1"/>
        <v>-8360.86</v>
      </c>
    </row>
    <row r="92" spans="1:10" x14ac:dyDescent="0.3">
      <c r="A92" s="1">
        <v>45922</v>
      </c>
      <c r="B92" t="s">
        <v>23</v>
      </c>
      <c r="C92" t="s">
        <v>93</v>
      </c>
      <c r="D92" t="s">
        <v>94</v>
      </c>
      <c r="E92" t="s">
        <v>25</v>
      </c>
      <c r="F92" s="2" t="s">
        <v>18</v>
      </c>
      <c r="G92" t="s">
        <v>19</v>
      </c>
      <c r="H92">
        <v>182.5</v>
      </c>
      <c r="I92">
        <v>0</v>
      </c>
      <c r="J92">
        <f t="shared" si="1"/>
        <v>182.5</v>
      </c>
    </row>
    <row r="93" spans="1:10" x14ac:dyDescent="0.3">
      <c r="A93" s="1">
        <v>45922</v>
      </c>
      <c r="B93" t="s">
        <v>23</v>
      </c>
      <c r="C93" t="s">
        <v>26</v>
      </c>
      <c r="D93" t="s">
        <v>27</v>
      </c>
      <c r="E93" t="s">
        <v>25</v>
      </c>
      <c r="F93" s="2" t="s">
        <v>28</v>
      </c>
      <c r="G93" t="s">
        <v>29</v>
      </c>
      <c r="H93">
        <v>0</v>
      </c>
      <c r="I93">
        <v>182.5</v>
      </c>
      <c r="J93">
        <f t="shared" si="1"/>
        <v>-182.5</v>
      </c>
    </row>
    <row r="94" spans="1:10" x14ac:dyDescent="0.3">
      <c r="A94" s="1">
        <v>45922</v>
      </c>
      <c r="B94" t="s">
        <v>23</v>
      </c>
      <c r="C94" t="s">
        <v>93</v>
      </c>
      <c r="D94" t="s">
        <v>95</v>
      </c>
      <c r="E94" t="s">
        <v>25</v>
      </c>
      <c r="F94" s="2" t="s">
        <v>18</v>
      </c>
      <c r="G94" t="s">
        <v>19</v>
      </c>
      <c r="H94">
        <v>602.35</v>
      </c>
      <c r="I94">
        <v>0</v>
      </c>
      <c r="J94">
        <f t="shared" si="1"/>
        <v>602.35</v>
      </c>
    </row>
    <row r="95" spans="1:10" x14ac:dyDescent="0.3">
      <c r="A95" s="1">
        <v>45922</v>
      </c>
      <c r="B95" t="s">
        <v>23</v>
      </c>
      <c r="C95" t="s">
        <v>26</v>
      </c>
      <c r="D95" t="s">
        <v>27</v>
      </c>
      <c r="E95" t="s">
        <v>25</v>
      </c>
      <c r="F95" s="2" t="s">
        <v>28</v>
      </c>
      <c r="G95" t="s">
        <v>29</v>
      </c>
      <c r="H95">
        <v>0</v>
      </c>
      <c r="I95">
        <v>602.35</v>
      </c>
      <c r="J95">
        <f t="shared" si="1"/>
        <v>-602.35</v>
      </c>
    </row>
    <row r="96" spans="1:10" x14ac:dyDescent="0.3">
      <c r="A96" s="1">
        <v>45922</v>
      </c>
      <c r="B96" t="s">
        <v>23</v>
      </c>
      <c r="C96" t="s">
        <v>93</v>
      </c>
      <c r="D96" t="s">
        <v>96</v>
      </c>
      <c r="E96" t="s">
        <v>25</v>
      </c>
      <c r="F96" s="2" t="s">
        <v>18</v>
      </c>
      <c r="G96" t="s">
        <v>19</v>
      </c>
      <c r="H96">
        <v>5972.09</v>
      </c>
      <c r="I96">
        <v>0</v>
      </c>
      <c r="J96">
        <f t="shared" si="1"/>
        <v>5972.09</v>
      </c>
    </row>
    <row r="97" spans="1:10" x14ac:dyDescent="0.3">
      <c r="A97" s="1">
        <v>45922</v>
      </c>
      <c r="B97" t="s">
        <v>23</v>
      </c>
      <c r="C97" t="s">
        <v>26</v>
      </c>
      <c r="D97" t="s">
        <v>27</v>
      </c>
      <c r="E97" t="s">
        <v>25</v>
      </c>
      <c r="F97" s="2" t="s">
        <v>28</v>
      </c>
      <c r="G97" t="s">
        <v>29</v>
      </c>
      <c r="H97">
        <v>0</v>
      </c>
      <c r="I97">
        <v>5972.09</v>
      </c>
      <c r="J97">
        <f t="shared" si="1"/>
        <v>-5972.09</v>
      </c>
    </row>
    <row r="98" spans="1:10" x14ac:dyDescent="0.3">
      <c r="A98" s="1">
        <v>45925</v>
      </c>
      <c r="B98" t="s">
        <v>23</v>
      </c>
      <c r="C98" t="s">
        <v>26</v>
      </c>
      <c r="D98" t="s">
        <v>39</v>
      </c>
      <c r="E98" t="s">
        <v>25</v>
      </c>
      <c r="F98" s="2" t="s">
        <v>28</v>
      </c>
      <c r="G98" t="s">
        <v>29</v>
      </c>
      <c r="H98">
        <v>641.25</v>
      </c>
      <c r="I98">
        <v>0</v>
      </c>
      <c r="J98">
        <f t="shared" si="1"/>
        <v>641.25</v>
      </c>
    </row>
    <row r="99" spans="1:10" x14ac:dyDescent="0.3">
      <c r="A99" s="1">
        <v>45925</v>
      </c>
      <c r="B99" t="s">
        <v>23</v>
      </c>
      <c r="C99" t="s">
        <v>97</v>
      </c>
      <c r="D99" t="s">
        <v>98</v>
      </c>
      <c r="E99" t="s">
        <v>25</v>
      </c>
      <c r="F99" s="2" t="s">
        <v>42</v>
      </c>
      <c r="G99" t="s">
        <v>43</v>
      </c>
      <c r="H99">
        <v>0</v>
      </c>
      <c r="I99">
        <v>641.25</v>
      </c>
      <c r="J99">
        <f t="shared" si="1"/>
        <v>-641.25</v>
      </c>
    </row>
    <row r="100" spans="1:10" x14ac:dyDescent="0.3">
      <c r="A100" s="1">
        <v>45926</v>
      </c>
      <c r="B100" t="s">
        <v>10</v>
      </c>
      <c r="C100" t="s">
        <v>11</v>
      </c>
      <c r="D100" t="s">
        <v>46</v>
      </c>
      <c r="E100" t="s">
        <v>99</v>
      </c>
      <c r="F100" s="2" t="s">
        <v>48</v>
      </c>
      <c r="G100" t="s">
        <v>49</v>
      </c>
      <c r="H100">
        <v>527.35</v>
      </c>
      <c r="I100">
        <v>0</v>
      </c>
      <c r="J100">
        <f t="shared" si="1"/>
        <v>527.35</v>
      </c>
    </row>
    <row r="101" spans="1:10" x14ac:dyDescent="0.3">
      <c r="A101" s="1">
        <v>45926</v>
      </c>
      <c r="B101" t="s">
        <v>10</v>
      </c>
      <c r="C101" t="s">
        <v>44</v>
      </c>
      <c r="D101" t="s">
        <v>17</v>
      </c>
      <c r="E101" t="s">
        <v>99</v>
      </c>
      <c r="F101" s="2" t="s">
        <v>18</v>
      </c>
      <c r="G101" t="s">
        <v>19</v>
      </c>
      <c r="H101">
        <v>0</v>
      </c>
      <c r="I101">
        <v>527.35</v>
      </c>
      <c r="J101">
        <f t="shared" si="1"/>
        <v>-527.35</v>
      </c>
    </row>
    <row r="102" spans="1:10" x14ac:dyDescent="0.3">
      <c r="A102" s="1">
        <v>45926</v>
      </c>
      <c r="B102" t="s">
        <v>50</v>
      </c>
      <c r="C102" t="s">
        <v>97</v>
      </c>
      <c r="D102" t="s">
        <v>51</v>
      </c>
      <c r="E102" t="s">
        <v>100</v>
      </c>
      <c r="F102" s="2" t="s">
        <v>42</v>
      </c>
      <c r="G102" t="s">
        <v>43</v>
      </c>
      <c r="H102">
        <v>641.25</v>
      </c>
      <c r="I102">
        <v>0</v>
      </c>
      <c r="J102">
        <f t="shared" si="1"/>
        <v>641.25</v>
      </c>
    </row>
    <row r="103" spans="1:10" x14ac:dyDescent="0.3">
      <c r="A103" s="1">
        <v>45926</v>
      </c>
      <c r="B103" t="s">
        <v>50</v>
      </c>
      <c r="C103" t="s">
        <v>53</v>
      </c>
      <c r="D103" t="s">
        <v>54</v>
      </c>
      <c r="E103" t="s">
        <v>100</v>
      </c>
      <c r="F103" s="2" t="s">
        <v>55</v>
      </c>
      <c r="G103" t="s">
        <v>56</v>
      </c>
      <c r="H103">
        <v>0</v>
      </c>
      <c r="I103">
        <v>641.25</v>
      </c>
      <c r="J103">
        <f t="shared" si="1"/>
        <v>-641.25</v>
      </c>
    </row>
    <row r="104" spans="1:10" x14ac:dyDescent="0.3">
      <c r="A104" s="1">
        <v>45930</v>
      </c>
      <c r="B104" t="s">
        <v>10</v>
      </c>
      <c r="C104" t="s">
        <v>11</v>
      </c>
      <c r="D104" t="s">
        <v>12</v>
      </c>
      <c r="E104" t="s">
        <v>101</v>
      </c>
      <c r="F104" s="2" t="s">
        <v>14</v>
      </c>
      <c r="G104" t="s">
        <v>15</v>
      </c>
      <c r="H104">
        <v>11.78</v>
      </c>
      <c r="I104">
        <v>0</v>
      </c>
      <c r="J104">
        <f t="shared" si="1"/>
        <v>11.78</v>
      </c>
    </row>
    <row r="105" spans="1:10" x14ac:dyDescent="0.3">
      <c r="A105" s="1">
        <v>45930</v>
      </c>
      <c r="B105" t="s">
        <v>10</v>
      </c>
      <c r="C105" t="s">
        <v>16</v>
      </c>
      <c r="D105" t="s">
        <v>17</v>
      </c>
      <c r="E105" t="s">
        <v>101</v>
      </c>
      <c r="F105" s="2" t="s">
        <v>18</v>
      </c>
      <c r="G105" t="s">
        <v>19</v>
      </c>
      <c r="H105">
        <v>0</v>
      </c>
      <c r="I105">
        <v>11.78</v>
      </c>
      <c r="J105">
        <f t="shared" si="1"/>
        <v>-11.78</v>
      </c>
    </row>
    <row r="106" spans="1:10" x14ac:dyDescent="0.3">
      <c r="A106" s="1">
        <v>45930</v>
      </c>
      <c r="B106" t="s">
        <v>23</v>
      </c>
      <c r="C106" t="s">
        <v>44</v>
      </c>
      <c r="D106" t="s">
        <v>102</v>
      </c>
      <c r="E106" t="s">
        <v>25</v>
      </c>
      <c r="F106" s="2" t="s">
        <v>18</v>
      </c>
      <c r="G106" t="s">
        <v>19</v>
      </c>
      <c r="H106">
        <v>527.35</v>
      </c>
      <c r="I106">
        <v>0</v>
      </c>
      <c r="J106">
        <f t="shared" si="1"/>
        <v>527.35</v>
      </c>
    </row>
    <row r="107" spans="1:10" x14ac:dyDescent="0.3">
      <c r="A107" s="1">
        <v>45930</v>
      </c>
      <c r="B107" t="s">
        <v>23</v>
      </c>
      <c r="C107" t="s">
        <v>26</v>
      </c>
      <c r="D107" t="s">
        <v>27</v>
      </c>
      <c r="E107" t="s">
        <v>25</v>
      </c>
      <c r="F107" s="2" t="s">
        <v>28</v>
      </c>
      <c r="G107" t="s">
        <v>29</v>
      </c>
      <c r="H107">
        <v>0</v>
      </c>
      <c r="I107">
        <v>527.35</v>
      </c>
      <c r="J107">
        <f t="shared" si="1"/>
        <v>-527.35</v>
      </c>
    </row>
    <row r="108" spans="1:10" x14ac:dyDescent="0.3">
      <c r="A108" s="1">
        <v>45940</v>
      </c>
      <c r="B108" t="s">
        <v>23</v>
      </c>
      <c r="C108" t="s">
        <v>16</v>
      </c>
      <c r="D108" t="s">
        <v>103</v>
      </c>
      <c r="E108" t="s">
        <v>25</v>
      </c>
      <c r="F108" s="2" t="s">
        <v>18</v>
      </c>
      <c r="G108" t="s">
        <v>19</v>
      </c>
      <c r="H108">
        <v>11.78</v>
      </c>
      <c r="I108">
        <v>0</v>
      </c>
      <c r="J108">
        <f t="shared" si="1"/>
        <v>11.78</v>
      </c>
    </row>
    <row r="109" spans="1:10" x14ac:dyDescent="0.3">
      <c r="A109" s="1">
        <v>45940</v>
      </c>
      <c r="B109" t="s">
        <v>23</v>
      </c>
      <c r="C109" t="s">
        <v>26</v>
      </c>
      <c r="D109" t="s">
        <v>27</v>
      </c>
      <c r="E109" t="s">
        <v>25</v>
      </c>
      <c r="F109" s="2" t="s">
        <v>28</v>
      </c>
      <c r="G109" t="s">
        <v>29</v>
      </c>
      <c r="H109">
        <v>0</v>
      </c>
      <c r="I109">
        <v>11.78</v>
      </c>
      <c r="J109">
        <f t="shared" si="1"/>
        <v>-11.78</v>
      </c>
    </row>
    <row r="110" spans="1:10" x14ac:dyDescent="0.3">
      <c r="A110" s="1">
        <v>45946</v>
      </c>
      <c r="B110" t="s">
        <v>10</v>
      </c>
      <c r="C110" t="s">
        <v>11</v>
      </c>
      <c r="D110" t="s">
        <v>46</v>
      </c>
      <c r="E110" t="s">
        <v>104</v>
      </c>
      <c r="F110" s="2" t="s">
        <v>48</v>
      </c>
      <c r="G110" t="s">
        <v>49</v>
      </c>
      <c r="H110">
        <v>141.25</v>
      </c>
      <c r="I110">
        <v>0</v>
      </c>
      <c r="J110">
        <f t="shared" si="1"/>
        <v>141.25</v>
      </c>
    </row>
    <row r="111" spans="1:10" x14ac:dyDescent="0.3">
      <c r="A111" s="1">
        <v>45946</v>
      </c>
      <c r="B111" t="s">
        <v>10</v>
      </c>
      <c r="C111" t="s">
        <v>44</v>
      </c>
      <c r="D111" t="s">
        <v>17</v>
      </c>
      <c r="E111" t="s">
        <v>104</v>
      </c>
      <c r="F111" s="2" t="s">
        <v>18</v>
      </c>
      <c r="G111" t="s">
        <v>19</v>
      </c>
      <c r="H111">
        <v>0</v>
      </c>
      <c r="I111">
        <v>141.25</v>
      </c>
      <c r="J111">
        <f t="shared" si="1"/>
        <v>-141.25</v>
      </c>
    </row>
    <row r="112" spans="1:10" x14ac:dyDescent="0.3">
      <c r="A112" s="1">
        <v>45946</v>
      </c>
      <c r="B112" t="s">
        <v>10</v>
      </c>
      <c r="C112" t="s">
        <v>11</v>
      </c>
      <c r="D112" t="s">
        <v>46</v>
      </c>
      <c r="E112" t="s">
        <v>105</v>
      </c>
      <c r="F112" s="2" t="s">
        <v>48</v>
      </c>
      <c r="G112" t="s">
        <v>49</v>
      </c>
      <c r="H112">
        <v>182.5</v>
      </c>
      <c r="I112">
        <v>0</v>
      </c>
      <c r="J112">
        <f t="shared" si="1"/>
        <v>182.5</v>
      </c>
    </row>
    <row r="113" spans="1:10" x14ac:dyDescent="0.3">
      <c r="A113" s="1">
        <v>45946</v>
      </c>
      <c r="B113" t="s">
        <v>10</v>
      </c>
      <c r="C113" t="s">
        <v>93</v>
      </c>
      <c r="D113" t="s">
        <v>17</v>
      </c>
      <c r="E113" t="s">
        <v>105</v>
      </c>
      <c r="F113" s="2" t="s">
        <v>18</v>
      </c>
      <c r="G113" t="s">
        <v>19</v>
      </c>
      <c r="H113">
        <v>0</v>
      </c>
      <c r="I113">
        <v>182.5</v>
      </c>
      <c r="J113">
        <f t="shared" si="1"/>
        <v>-182.5</v>
      </c>
    </row>
    <row r="114" spans="1:10" x14ac:dyDescent="0.3">
      <c r="A114" s="1">
        <v>45946</v>
      </c>
      <c r="B114" t="s">
        <v>10</v>
      </c>
      <c r="C114" t="s">
        <v>11</v>
      </c>
      <c r="D114" t="s">
        <v>46</v>
      </c>
      <c r="E114" t="s">
        <v>106</v>
      </c>
      <c r="F114" s="2" t="s">
        <v>48</v>
      </c>
      <c r="G114" t="s">
        <v>49</v>
      </c>
      <c r="H114">
        <v>602.35</v>
      </c>
      <c r="I114">
        <v>0</v>
      </c>
      <c r="J114">
        <f t="shared" si="1"/>
        <v>602.35</v>
      </c>
    </row>
    <row r="115" spans="1:10" x14ac:dyDescent="0.3">
      <c r="A115" s="1">
        <v>45946</v>
      </c>
      <c r="B115" t="s">
        <v>10</v>
      </c>
      <c r="C115" t="s">
        <v>93</v>
      </c>
      <c r="D115" t="s">
        <v>17</v>
      </c>
      <c r="E115" t="s">
        <v>106</v>
      </c>
      <c r="F115" s="2" t="s">
        <v>18</v>
      </c>
      <c r="G115" t="s">
        <v>19</v>
      </c>
      <c r="H115">
        <v>0</v>
      </c>
      <c r="I115">
        <v>602.35</v>
      </c>
      <c r="J115">
        <f t="shared" si="1"/>
        <v>-602.35</v>
      </c>
    </row>
    <row r="116" spans="1:10" x14ac:dyDescent="0.3">
      <c r="A116" s="1">
        <v>45946</v>
      </c>
      <c r="B116" t="s">
        <v>10</v>
      </c>
      <c r="C116" t="s">
        <v>11</v>
      </c>
      <c r="D116" t="s">
        <v>46</v>
      </c>
      <c r="E116" t="s">
        <v>107</v>
      </c>
      <c r="F116" s="2" t="s">
        <v>48</v>
      </c>
      <c r="G116" t="s">
        <v>49</v>
      </c>
      <c r="H116">
        <v>5972.09</v>
      </c>
      <c r="I116">
        <v>0</v>
      </c>
      <c r="J116">
        <f t="shared" si="1"/>
        <v>5972.09</v>
      </c>
    </row>
    <row r="117" spans="1:10" x14ac:dyDescent="0.3">
      <c r="A117" s="1">
        <v>45946</v>
      </c>
      <c r="B117" t="s">
        <v>10</v>
      </c>
      <c r="C117" t="s">
        <v>93</v>
      </c>
      <c r="D117" t="s">
        <v>17</v>
      </c>
      <c r="E117" t="s">
        <v>107</v>
      </c>
      <c r="F117" s="2" t="s">
        <v>18</v>
      </c>
      <c r="G117" t="s">
        <v>19</v>
      </c>
      <c r="H117">
        <v>0</v>
      </c>
      <c r="I117">
        <v>5972.09</v>
      </c>
      <c r="J117">
        <f t="shared" si="1"/>
        <v>-5972.09</v>
      </c>
    </row>
    <row r="118" spans="1:10" x14ac:dyDescent="0.3">
      <c r="A118" s="1">
        <v>45946</v>
      </c>
      <c r="B118" t="s">
        <v>23</v>
      </c>
      <c r="C118" t="s">
        <v>26</v>
      </c>
      <c r="D118" t="s">
        <v>39</v>
      </c>
      <c r="E118" t="s">
        <v>25</v>
      </c>
      <c r="F118" s="2" t="s">
        <v>28</v>
      </c>
      <c r="G118" t="s">
        <v>29</v>
      </c>
      <c r="H118">
        <v>173</v>
      </c>
      <c r="I118">
        <v>0</v>
      </c>
      <c r="J118">
        <f t="shared" si="1"/>
        <v>173</v>
      </c>
    </row>
    <row r="119" spans="1:10" x14ac:dyDescent="0.3">
      <c r="A119" s="1">
        <v>45946</v>
      </c>
      <c r="B119" t="s">
        <v>23</v>
      </c>
      <c r="C119" t="s">
        <v>108</v>
      </c>
      <c r="D119" t="s">
        <v>109</v>
      </c>
      <c r="E119" t="s">
        <v>25</v>
      </c>
      <c r="F119" s="2" t="s">
        <v>42</v>
      </c>
      <c r="G119" t="s">
        <v>43</v>
      </c>
      <c r="H119">
        <v>0</v>
      </c>
      <c r="I119">
        <v>173</v>
      </c>
      <c r="J119">
        <f t="shared" si="1"/>
        <v>-173</v>
      </c>
    </row>
    <row r="120" spans="1:10" x14ac:dyDescent="0.3">
      <c r="A120" s="1">
        <v>45947</v>
      </c>
      <c r="B120" t="s">
        <v>50</v>
      </c>
      <c r="C120" t="s">
        <v>108</v>
      </c>
      <c r="D120" t="s">
        <v>51</v>
      </c>
      <c r="E120" t="s">
        <v>110</v>
      </c>
      <c r="F120" s="2" t="s">
        <v>42</v>
      </c>
      <c r="G120" t="s">
        <v>43</v>
      </c>
      <c r="H120">
        <v>173</v>
      </c>
      <c r="I120">
        <v>0</v>
      </c>
      <c r="J120">
        <f t="shared" si="1"/>
        <v>173</v>
      </c>
    </row>
    <row r="121" spans="1:10" x14ac:dyDescent="0.3">
      <c r="A121" s="1">
        <v>45947</v>
      </c>
      <c r="B121" t="s">
        <v>50</v>
      </c>
      <c r="C121" t="s">
        <v>53</v>
      </c>
      <c r="D121" t="s">
        <v>54</v>
      </c>
      <c r="E121" t="s">
        <v>110</v>
      </c>
      <c r="F121" s="2" t="s">
        <v>55</v>
      </c>
      <c r="G121" t="s">
        <v>56</v>
      </c>
      <c r="H121">
        <v>0</v>
      </c>
      <c r="I121">
        <v>173</v>
      </c>
      <c r="J121">
        <f t="shared" si="1"/>
        <v>-173</v>
      </c>
    </row>
    <row r="122" spans="1:10" x14ac:dyDescent="0.3">
      <c r="A122" s="1">
        <v>45947</v>
      </c>
      <c r="B122" t="s">
        <v>23</v>
      </c>
      <c r="C122" t="s">
        <v>44</v>
      </c>
      <c r="D122" t="s">
        <v>111</v>
      </c>
      <c r="E122" t="s">
        <v>25</v>
      </c>
      <c r="F122" s="2" t="s">
        <v>18</v>
      </c>
      <c r="G122" t="s">
        <v>19</v>
      </c>
      <c r="H122">
        <v>141.25</v>
      </c>
      <c r="I122">
        <v>0</v>
      </c>
      <c r="J122">
        <f t="shared" si="1"/>
        <v>141.25</v>
      </c>
    </row>
    <row r="123" spans="1:10" x14ac:dyDescent="0.3">
      <c r="A123" s="1">
        <v>45947</v>
      </c>
      <c r="B123" t="s">
        <v>23</v>
      </c>
      <c r="C123" t="s">
        <v>26</v>
      </c>
      <c r="D123" t="s">
        <v>27</v>
      </c>
      <c r="E123" t="s">
        <v>25</v>
      </c>
      <c r="F123" s="2" t="s">
        <v>28</v>
      </c>
      <c r="G123" t="s">
        <v>29</v>
      </c>
      <c r="H123">
        <v>0</v>
      </c>
      <c r="I123">
        <v>141.25</v>
      </c>
      <c r="J123">
        <f t="shared" si="1"/>
        <v>-141.25</v>
      </c>
    </row>
    <row r="124" spans="1:10" x14ac:dyDescent="0.3">
      <c r="A124" s="1">
        <v>45948</v>
      </c>
      <c r="B124" t="s">
        <v>50</v>
      </c>
      <c r="C124" t="s">
        <v>91</v>
      </c>
      <c r="D124" t="s">
        <v>51</v>
      </c>
      <c r="E124" t="s">
        <v>112</v>
      </c>
      <c r="F124" s="2" t="s">
        <v>42</v>
      </c>
      <c r="G124" t="s">
        <v>43</v>
      </c>
      <c r="H124">
        <v>8360.86</v>
      </c>
      <c r="I124">
        <v>0</v>
      </c>
      <c r="J124">
        <f t="shared" si="1"/>
        <v>8360.86</v>
      </c>
    </row>
    <row r="125" spans="1:10" x14ac:dyDescent="0.3">
      <c r="A125" s="1">
        <v>45948</v>
      </c>
      <c r="B125" t="s">
        <v>50</v>
      </c>
      <c r="C125" t="s">
        <v>53</v>
      </c>
      <c r="D125" t="s">
        <v>54</v>
      </c>
      <c r="E125" t="s">
        <v>112</v>
      </c>
      <c r="F125" s="2" t="s">
        <v>55</v>
      </c>
      <c r="G125" t="s">
        <v>56</v>
      </c>
      <c r="H125">
        <v>0</v>
      </c>
      <c r="I125">
        <v>8360.86</v>
      </c>
      <c r="J125">
        <f t="shared" si="1"/>
        <v>-8360.86</v>
      </c>
    </row>
    <row r="126" spans="1:10" x14ac:dyDescent="0.3">
      <c r="A126" s="1">
        <v>45956</v>
      </c>
      <c r="B126" t="s">
        <v>23</v>
      </c>
      <c r="C126" t="s">
        <v>93</v>
      </c>
      <c r="D126" t="s">
        <v>113</v>
      </c>
      <c r="E126" t="s">
        <v>25</v>
      </c>
      <c r="F126" s="2" t="s">
        <v>18</v>
      </c>
      <c r="G126" t="s">
        <v>19</v>
      </c>
      <c r="H126">
        <v>62.5</v>
      </c>
      <c r="I126">
        <v>0</v>
      </c>
      <c r="J126">
        <f t="shared" si="1"/>
        <v>62.5</v>
      </c>
    </row>
    <row r="127" spans="1:10" x14ac:dyDescent="0.3">
      <c r="A127" s="1">
        <v>45956</v>
      </c>
      <c r="B127" t="s">
        <v>23</v>
      </c>
      <c r="C127" t="s">
        <v>26</v>
      </c>
      <c r="D127" t="s">
        <v>27</v>
      </c>
      <c r="E127" t="s">
        <v>25</v>
      </c>
      <c r="F127" s="2" t="s">
        <v>28</v>
      </c>
      <c r="G127" t="s">
        <v>29</v>
      </c>
      <c r="H127">
        <v>0</v>
      </c>
      <c r="I127">
        <v>62.5</v>
      </c>
      <c r="J127">
        <f t="shared" si="1"/>
        <v>-62.5</v>
      </c>
    </row>
    <row r="128" spans="1:10" x14ac:dyDescent="0.3">
      <c r="A128" s="1">
        <v>45957</v>
      </c>
      <c r="B128" t="s">
        <v>10</v>
      </c>
      <c r="C128" t="s">
        <v>11</v>
      </c>
      <c r="D128" t="s">
        <v>114</v>
      </c>
      <c r="E128" t="s">
        <v>115</v>
      </c>
      <c r="F128" s="2" t="s">
        <v>36</v>
      </c>
      <c r="G128" t="s">
        <v>37</v>
      </c>
      <c r="H128">
        <v>7</v>
      </c>
      <c r="I128">
        <v>0</v>
      </c>
      <c r="J128">
        <f t="shared" si="1"/>
        <v>7</v>
      </c>
    </row>
    <row r="129" spans="1:10" x14ac:dyDescent="0.3">
      <c r="A129" s="1">
        <v>45957</v>
      </c>
      <c r="B129" t="s">
        <v>10</v>
      </c>
      <c r="C129" t="s">
        <v>116</v>
      </c>
      <c r="D129" t="s">
        <v>17</v>
      </c>
      <c r="E129" t="s">
        <v>115</v>
      </c>
      <c r="F129" s="2" t="s">
        <v>18</v>
      </c>
      <c r="G129" t="s">
        <v>19</v>
      </c>
      <c r="H129">
        <v>0</v>
      </c>
      <c r="I129">
        <v>7</v>
      </c>
      <c r="J129">
        <f t="shared" si="1"/>
        <v>-7</v>
      </c>
    </row>
    <row r="130" spans="1:10" x14ac:dyDescent="0.3">
      <c r="A130" s="1">
        <v>45957</v>
      </c>
      <c r="B130" t="s">
        <v>10</v>
      </c>
      <c r="C130" t="s">
        <v>11</v>
      </c>
      <c r="D130" t="s">
        <v>46</v>
      </c>
      <c r="E130" t="s">
        <v>117</v>
      </c>
      <c r="F130" s="2" t="s">
        <v>48</v>
      </c>
      <c r="G130" t="s">
        <v>49</v>
      </c>
      <c r="H130">
        <v>62.5</v>
      </c>
      <c r="I130">
        <v>0</v>
      </c>
      <c r="J130">
        <f t="shared" si="1"/>
        <v>62.5</v>
      </c>
    </row>
    <row r="131" spans="1:10" x14ac:dyDescent="0.3">
      <c r="A131" s="1">
        <v>45957</v>
      </c>
      <c r="B131" t="s">
        <v>10</v>
      </c>
      <c r="C131" t="s">
        <v>93</v>
      </c>
      <c r="D131" t="s">
        <v>17</v>
      </c>
      <c r="E131" t="s">
        <v>117</v>
      </c>
      <c r="F131" s="2" t="s">
        <v>18</v>
      </c>
      <c r="G131" t="s">
        <v>19</v>
      </c>
      <c r="H131">
        <v>0</v>
      </c>
      <c r="I131">
        <v>62.5</v>
      </c>
      <c r="J131">
        <f t="shared" ref="J131:J173" si="2">H131-I131</f>
        <v>-62.5</v>
      </c>
    </row>
    <row r="132" spans="1:10" x14ac:dyDescent="0.3">
      <c r="A132" s="1">
        <v>45957</v>
      </c>
      <c r="B132" t="s">
        <v>23</v>
      </c>
      <c r="C132" t="s">
        <v>26</v>
      </c>
      <c r="D132" t="s">
        <v>39</v>
      </c>
      <c r="E132" t="s">
        <v>25</v>
      </c>
      <c r="F132" s="2" t="s">
        <v>28</v>
      </c>
      <c r="G132" t="s">
        <v>29</v>
      </c>
      <c r="H132">
        <v>75</v>
      </c>
      <c r="I132">
        <v>0</v>
      </c>
      <c r="J132">
        <f t="shared" si="2"/>
        <v>75</v>
      </c>
    </row>
    <row r="133" spans="1:10" x14ac:dyDescent="0.3">
      <c r="A133" s="1">
        <v>45957</v>
      </c>
      <c r="B133" t="s">
        <v>23</v>
      </c>
      <c r="C133" t="s">
        <v>91</v>
      </c>
      <c r="D133" t="s">
        <v>118</v>
      </c>
      <c r="E133" t="s">
        <v>25</v>
      </c>
      <c r="F133" s="2" t="s">
        <v>42</v>
      </c>
      <c r="G133" t="s">
        <v>43</v>
      </c>
      <c r="H133">
        <v>0</v>
      </c>
      <c r="I133">
        <v>75</v>
      </c>
      <c r="J133">
        <f t="shared" si="2"/>
        <v>-75</v>
      </c>
    </row>
    <row r="134" spans="1:10" x14ac:dyDescent="0.3">
      <c r="A134" s="1">
        <v>45958</v>
      </c>
      <c r="B134" t="s">
        <v>23</v>
      </c>
      <c r="C134" t="s">
        <v>116</v>
      </c>
      <c r="D134" t="s">
        <v>119</v>
      </c>
      <c r="E134" t="s">
        <v>25</v>
      </c>
      <c r="F134" s="2" t="s">
        <v>18</v>
      </c>
      <c r="G134" t="s">
        <v>19</v>
      </c>
      <c r="H134">
        <v>7</v>
      </c>
      <c r="I134">
        <v>0</v>
      </c>
      <c r="J134">
        <f t="shared" si="2"/>
        <v>7</v>
      </c>
    </row>
    <row r="135" spans="1:10" x14ac:dyDescent="0.3">
      <c r="A135" s="1">
        <v>45958</v>
      </c>
      <c r="B135" t="s">
        <v>23</v>
      </c>
      <c r="C135" t="s">
        <v>26</v>
      </c>
      <c r="D135" t="s">
        <v>27</v>
      </c>
      <c r="E135" t="s">
        <v>25</v>
      </c>
      <c r="F135" s="2" t="s">
        <v>28</v>
      </c>
      <c r="G135" t="s">
        <v>29</v>
      </c>
      <c r="H135">
        <v>0</v>
      </c>
      <c r="I135">
        <v>7</v>
      </c>
      <c r="J135">
        <f t="shared" si="2"/>
        <v>-7</v>
      </c>
    </row>
    <row r="136" spans="1:10" x14ac:dyDescent="0.3">
      <c r="A136" s="1">
        <v>45959</v>
      </c>
      <c r="B136" t="s">
        <v>50</v>
      </c>
      <c r="C136" t="s">
        <v>91</v>
      </c>
      <c r="D136" t="s">
        <v>51</v>
      </c>
      <c r="E136" t="s">
        <v>120</v>
      </c>
      <c r="F136" s="2" t="s">
        <v>42</v>
      </c>
      <c r="G136" t="s">
        <v>43</v>
      </c>
      <c r="H136">
        <v>75</v>
      </c>
      <c r="I136">
        <v>0</v>
      </c>
      <c r="J136">
        <f t="shared" si="2"/>
        <v>75</v>
      </c>
    </row>
    <row r="137" spans="1:10" x14ac:dyDescent="0.3">
      <c r="A137" s="1">
        <v>45959</v>
      </c>
      <c r="B137" t="s">
        <v>50</v>
      </c>
      <c r="C137" t="s">
        <v>53</v>
      </c>
      <c r="D137" t="s">
        <v>54</v>
      </c>
      <c r="E137" t="s">
        <v>120</v>
      </c>
      <c r="F137" s="2" t="s">
        <v>55</v>
      </c>
      <c r="G137" t="s">
        <v>56</v>
      </c>
      <c r="H137">
        <v>0</v>
      </c>
      <c r="I137">
        <v>75</v>
      </c>
      <c r="J137">
        <f t="shared" si="2"/>
        <v>-75</v>
      </c>
    </row>
    <row r="138" spans="1:10" x14ac:dyDescent="0.3">
      <c r="A138" s="1">
        <v>45961</v>
      </c>
      <c r="B138" t="s">
        <v>10</v>
      </c>
      <c r="C138" t="s">
        <v>11</v>
      </c>
      <c r="D138" t="s">
        <v>12</v>
      </c>
      <c r="E138" t="s">
        <v>121</v>
      </c>
      <c r="F138" s="2" t="s">
        <v>14</v>
      </c>
      <c r="G138" t="s">
        <v>15</v>
      </c>
      <c r="H138">
        <v>10.97</v>
      </c>
      <c r="I138">
        <v>0</v>
      </c>
      <c r="J138">
        <f t="shared" si="2"/>
        <v>10.97</v>
      </c>
    </row>
    <row r="139" spans="1:10" x14ac:dyDescent="0.3">
      <c r="A139" s="1">
        <v>45961</v>
      </c>
      <c r="B139" t="s">
        <v>10</v>
      </c>
      <c r="C139" t="s">
        <v>16</v>
      </c>
      <c r="D139" t="s">
        <v>17</v>
      </c>
      <c r="E139" t="s">
        <v>121</v>
      </c>
      <c r="F139" s="2" t="s">
        <v>18</v>
      </c>
      <c r="G139" t="s">
        <v>19</v>
      </c>
      <c r="H139">
        <v>0</v>
      </c>
      <c r="I139">
        <v>10.97</v>
      </c>
      <c r="J139">
        <f t="shared" si="2"/>
        <v>-10.97</v>
      </c>
    </row>
    <row r="140" spans="1:10" x14ac:dyDescent="0.3">
      <c r="A140" s="1">
        <v>45971</v>
      </c>
      <c r="B140" t="s">
        <v>23</v>
      </c>
      <c r="C140" t="s">
        <v>16</v>
      </c>
      <c r="D140" t="s">
        <v>122</v>
      </c>
      <c r="E140" t="s">
        <v>25</v>
      </c>
      <c r="F140" s="2" t="s">
        <v>18</v>
      </c>
      <c r="G140" t="s">
        <v>19</v>
      </c>
      <c r="H140">
        <v>10.97</v>
      </c>
      <c r="I140">
        <v>0</v>
      </c>
      <c r="J140">
        <f t="shared" si="2"/>
        <v>10.97</v>
      </c>
    </row>
    <row r="141" spans="1:10" x14ac:dyDescent="0.3">
      <c r="A141" s="1">
        <v>45971</v>
      </c>
      <c r="B141" t="s">
        <v>23</v>
      </c>
      <c r="C141" t="s">
        <v>26</v>
      </c>
      <c r="D141" t="s">
        <v>27</v>
      </c>
      <c r="E141" t="s">
        <v>25</v>
      </c>
      <c r="F141" s="2" t="s">
        <v>28</v>
      </c>
      <c r="G141" t="s">
        <v>29</v>
      </c>
      <c r="H141">
        <v>0</v>
      </c>
      <c r="I141">
        <v>10.97</v>
      </c>
      <c r="J141">
        <f t="shared" si="2"/>
        <v>-10.97</v>
      </c>
    </row>
    <row r="142" spans="1:10" x14ac:dyDescent="0.3">
      <c r="A142" s="1">
        <v>45985</v>
      </c>
      <c r="B142" t="s">
        <v>10</v>
      </c>
      <c r="C142" t="s">
        <v>11</v>
      </c>
      <c r="D142" t="s">
        <v>46</v>
      </c>
      <c r="E142" t="s">
        <v>123</v>
      </c>
      <c r="F142" s="2" t="s">
        <v>48</v>
      </c>
      <c r="G142" t="s">
        <v>49</v>
      </c>
      <c r="H142">
        <v>342</v>
      </c>
      <c r="I142">
        <v>0</v>
      </c>
      <c r="J142">
        <f t="shared" si="2"/>
        <v>342</v>
      </c>
    </row>
    <row r="143" spans="1:10" x14ac:dyDescent="0.3">
      <c r="A143" s="1">
        <v>45985</v>
      </c>
      <c r="B143" t="s">
        <v>10</v>
      </c>
      <c r="C143" t="s">
        <v>44</v>
      </c>
      <c r="D143" t="s">
        <v>17</v>
      </c>
      <c r="E143" t="s">
        <v>123</v>
      </c>
      <c r="F143" s="2" t="s">
        <v>18</v>
      </c>
      <c r="G143" t="s">
        <v>19</v>
      </c>
      <c r="H143">
        <v>0</v>
      </c>
      <c r="I143">
        <v>342</v>
      </c>
      <c r="J143">
        <f t="shared" si="2"/>
        <v>-342</v>
      </c>
    </row>
    <row r="144" spans="1:10" x14ac:dyDescent="0.3">
      <c r="A144" s="1">
        <v>45985</v>
      </c>
      <c r="B144" t="s">
        <v>23</v>
      </c>
      <c r="C144" t="s">
        <v>26</v>
      </c>
      <c r="D144" t="s">
        <v>39</v>
      </c>
      <c r="E144" t="s">
        <v>25</v>
      </c>
      <c r="F144" s="2" t="s">
        <v>28</v>
      </c>
      <c r="G144" t="s">
        <v>29</v>
      </c>
      <c r="H144">
        <v>432</v>
      </c>
      <c r="I144">
        <v>0</v>
      </c>
      <c r="J144">
        <f t="shared" si="2"/>
        <v>432</v>
      </c>
    </row>
    <row r="145" spans="1:10" x14ac:dyDescent="0.3">
      <c r="A145" s="1">
        <v>45985</v>
      </c>
      <c r="B145" t="s">
        <v>23</v>
      </c>
      <c r="C145" t="s">
        <v>124</v>
      </c>
      <c r="D145" t="s">
        <v>125</v>
      </c>
      <c r="E145" t="s">
        <v>25</v>
      </c>
      <c r="F145" s="2" t="s">
        <v>42</v>
      </c>
      <c r="G145" t="s">
        <v>43</v>
      </c>
      <c r="H145">
        <v>0</v>
      </c>
      <c r="I145">
        <v>432</v>
      </c>
      <c r="J145">
        <f t="shared" si="2"/>
        <v>-432</v>
      </c>
    </row>
    <row r="146" spans="1:10" x14ac:dyDescent="0.3">
      <c r="A146" s="1">
        <v>45986</v>
      </c>
      <c r="B146" t="s">
        <v>50</v>
      </c>
      <c r="C146" t="s">
        <v>124</v>
      </c>
      <c r="D146" t="s">
        <v>51</v>
      </c>
      <c r="E146" t="s">
        <v>126</v>
      </c>
      <c r="F146" s="2" t="s">
        <v>42</v>
      </c>
      <c r="G146" t="s">
        <v>43</v>
      </c>
      <c r="H146">
        <v>432</v>
      </c>
      <c r="I146">
        <v>0</v>
      </c>
      <c r="J146">
        <f t="shared" si="2"/>
        <v>432</v>
      </c>
    </row>
    <row r="147" spans="1:10" x14ac:dyDescent="0.3">
      <c r="A147" s="1">
        <v>45986</v>
      </c>
      <c r="B147" t="s">
        <v>50</v>
      </c>
      <c r="C147" t="s">
        <v>53</v>
      </c>
      <c r="D147" t="s">
        <v>54</v>
      </c>
      <c r="E147" t="s">
        <v>126</v>
      </c>
      <c r="F147" s="2" t="s">
        <v>55</v>
      </c>
      <c r="G147" t="s">
        <v>56</v>
      </c>
      <c r="H147">
        <v>0</v>
      </c>
      <c r="I147">
        <v>432</v>
      </c>
      <c r="J147">
        <f t="shared" si="2"/>
        <v>-432</v>
      </c>
    </row>
    <row r="148" spans="1:10" x14ac:dyDescent="0.3">
      <c r="A148" s="1">
        <v>45986</v>
      </c>
      <c r="B148" t="s">
        <v>23</v>
      </c>
      <c r="C148" t="s">
        <v>44</v>
      </c>
      <c r="D148" t="s">
        <v>127</v>
      </c>
      <c r="E148" t="s">
        <v>25</v>
      </c>
      <c r="F148" s="2" t="s">
        <v>18</v>
      </c>
      <c r="G148" t="s">
        <v>19</v>
      </c>
      <c r="H148">
        <v>342</v>
      </c>
      <c r="I148">
        <v>0</v>
      </c>
      <c r="J148">
        <f t="shared" si="2"/>
        <v>342</v>
      </c>
    </row>
    <row r="149" spans="1:10" x14ac:dyDescent="0.3">
      <c r="A149" s="1">
        <v>45986</v>
      </c>
      <c r="B149" t="s">
        <v>23</v>
      </c>
      <c r="C149" t="s">
        <v>26</v>
      </c>
      <c r="D149" t="s">
        <v>27</v>
      </c>
      <c r="E149" t="s">
        <v>25</v>
      </c>
      <c r="F149" s="2" t="s">
        <v>28</v>
      </c>
      <c r="G149" t="s">
        <v>29</v>
      </c>
      <c r="H149">
        <v>0</v>
      </c>
      <c r="I149">
        <v>342</v>
      </c>
      <c r="J149">
        <f t="shared" si="2"/>
        <v>-342</v>
      </c>
    </row>
    <row r="150" spans="1:10" x14ac:dyDescent="0.3">
      <c r="A150" s="1">
        <v>45987</v>
      </c>
      <c r="B150" t="s">
        <v>10</v>
      </c>
      <c r="C150" t="s">
        <v>11</v>
      </c>
      <c r="D150" t="s">
        <v>128</v>
      </c>
      <c r="E150" t="s">
        <v>129</v>
      </c>
      <c r="F150" s="2" t="s">
        <v>36</v>
      </c>
      <c r="G150" t="s">
        <v>37</v>
      </c>
      <c r="H150">
        <v>141.59</v>
      </c>
      <c r="I150">
        <v>0</v>
      </c>
      <c r="J150">
        <f t="shared" si="2"/>
        <v>141.59</v>
      </c>
    </row>
    <row r="151" spans="1:10" x14ac:dyDescent="0.3">
      <c r="A151" s="1">
        <v>45987</v>
      </c>
      <c r="B151" t="s">
        <v>10</v>
      </c>
      <c r="C151" t="s">
        <v>130</v>
      </c>
      <c r="D151" t="s">
        <v>17</v>
      </c>
      <c r="E151" t="s">
        <v>129</v>
      </c>
      <c r="F151" s="2" t="s">
        <v>18</v>
      </c>
      <c r="G151" t="s">
        <v>19</v>
      </c>
      <c r="H151">
        <v>0</v>
      </c>
      <c r="I151">
        <v>141.59</v>
      </c>
      <c r="J151">
        <f t="shared" si="2"/>
        <v>-141.59</v>
      </c>
    </row>
    <row r="152" spans="1:10" x14ac:dyDescent="0.3">
      <c r="A152" s="1">
        <v>45987</v>
      </c>
      <c r="B152" t="s">
        <v>23</v>
      </c>
      <c r="C152" t="s">
        <v>130</v>
      </c>
      <c r="D152" t="s">
        <v>131</v>
      </c>
      <c r="E152" t="s">
        <v>25</v>
      </c>
      <c r="F152" s="2" t="s">
        <v>18</v>
      </c>
      <c r="G152" t="s">
        <v>19</v>
      </c>
      <c r="H152">
        <v>141.59</v>
      </c>
      <c r="I152">
        <v>0</v>
      </c>
      <c r="J152">
        <f t="shared" si="2"/>
        <v>141.59</v>
      </c>
    </row>
    <row r="153" spans="1:10" x14ac:dyDescent="0.3">
      <c r="A153" s="1">
        <v>45987</v>
      </c>
      <c r="B153" t="s">
        <v>23</v>
      </c>
      <c r="C153" t="s">
        <v>26</v>
      </c>
      <c r="D153" t="s">
        <v>27</v>
      </c>
      <c r="E153" t="s">
        <v>25</v>
      </c>
      <c r="F153" s="2" t="s">
        <v>28</v>
      </c>
      <c r="G153" t="s">
        <v>29</v>
      </c>
      <c r="H153">
        <v>0</v>
      </c>
      <c r="I153">
        <v>141.59</v>
      </c>
      <c r="J153">
        <f t="shared" si="2"/>
        <v>-141.59</v>
      </c>
    </row>
    <row r="154" spans="1:10" x14ac:dyDescent="0.3">
      <c r="A154" s="1">
        <v>45988</v>
      </c>
      <c r="B154" t="s">
        <v>10</v>
      </c>
      <c r="C154" t="s">
        <v>11</v>
      </c>
      <c r="D154" t="s">
        <v>132</v>
      </c>
      <c r="F154" s="2" t="s">
        <v>133</v>
      </c>
      <c r="G154" t="s">
        <v>134</v>
      </c>
      <c r="H154">
        <v>7.96</v>
      </c>
      <c r="I154">
        <v>0</v>
      </c>
      <c r="J154">
        <f t="shared" si="2"/>
        <v>7.96</v>
      </c>
    </row>
    <row r="155" spans="1:10" x14ac:dyDescent="0.3">
      <c r="A155" s="1">
        <v>45988</v>
      </c>
      <c r="B155" t="s">
        <v>10</v>
      </c>
      <c r="C155" t="s">
        <v>135</v>
      </c>
      <c r="D155" t="s">
        <v>17</v>
      </c>
      <c r="F155" s="2" t="s">
        <v>18</v>
      </c>
      <c r="G155" t="s">
        <v>19</v>
      </c>
      <c r="H155">
        <v>0</v>
      </c>
      <c r="I155">
        <v>7.96</v>
      </c>
      <c r="J155">
        <f t="shared" si="2"/>
        <v>-7.96</v>
      </c>
    </row>
    <row r="156" spans="1:10" x14ac:dyDescent="0.3">
      <c r="A156" s="1">
        <v>45988</v>
      </c>
      <c r="B156" t="s">
        <v>23</v>
      </c>
      <c r="C156" t="s">
        <v>135</v>
      </c>
      <c r="D156" t="s">
        <v>136</v>
      </c>
      <c r="E156" t="s">
        <v>25</v>
      </c>
      <c r="F156" s="2" t="s">
        <v>18</v>
      </c>
      <c r="G156" t="s">
        <v>19</v>
      </c>
      <c r="H156">
        <v>7.96</v>
      </c>
      <c r="I156">
        <v>0</v>
      </c>
      <c r="J156">
        <f t="shared" si="2"/>
        <v>7.96</v>
      </c>
    </row>
    <row r="157" spans="1:10" x14ac:dyDescent="0.3">
      <c r="A157" s="1">
        <v>45988</v>
      </c>
      <c r="B157" t="s">
        <v>23</v>
      </c>
      <c r="C157" t="s">
        <v>26</v>
      </c>
      <c r="D157" t="s">
        <v>27</v>
      </c>
      <c r="E157" t="s">
        <v>25</v>
      </c>
      <c r="F157" s="2" t="s">
        <v>28</v>
      </c>
      <c r="G157" t="s">
        <v>29</v>
      </c>
      <c r="H157">
        <v>0</v>
      </c>
      <c r="I157">
        <v>7.96</v>
      </c>
      <c r="J157">
        <f t="shared" si="2"/>
        <v>-7.96</v>
      </c>
    </row>
    <row r="158" spans="1:10" x14ac:dyDescent="0.3">
      <c r="A158" s="1">
        <v>45991</v>
      </c>
      <c r="B158" t="s">
        <v>10</v>
      </c>
      <c r="C158" t="s">
        <v>11</v>
      </c>
      <c r="D158" t="s">
        <v>12</v>
      </c>
      <c r="E158" t="s">
        <v>137</v>
      </c>
      <c r="F158" s="2" t="s">
        <v>14</v>
      </c>
      <c r="G158" t="s">
        <v>15</v>
      </c>
      <c r="H158">
        <v>10.97</v>
      </c>
      <c r="I158">
        <v>0</v>
      </c>
      <c r="J158">
        <f t="shared" si="2"/>
        <v>10.97</v>
      </c>
    </row>
    <row r="159" spans="1:10" x14ac:dyDescent="0.3">
      <c r="A159" s="1">
        <v>45991</v>
      </c>
      <c r="B159" t="s">
        <v>10</v>
      </c>
      <c r="C159" t="s">
        <v>16</v>
      </c>
      <c r="D159" t="s">
        <v>17</v>
      </c>
      <c r="E159" t="s">
        <v>137</v>
      </c>
      <c r="F159" s="2" t="s">
        <v>18</v>
      </c>
      <c r="G159" t="s">
        <v>19</v>
      </c>
      <c r="H159">
        <v>0</v>
      </c>
      <c r="I159">
        <v>10.97</v>
      </c>
      <c r="J159">
        <f t="shared" si="2"/>
        <v>-10.97</v>
      </c>
    </row>
    <row r="160" spans="1:10" x14ac:dyDescent="0.3">
      <c r="A160" s="1">
        <v>46001</v>
      </c>
      <c r="B160" t="s">
        <v>23</v>
      </c>
      <c r="C160" t="s">
        <v>16</v>
      </c>
      <c r="D160" t="s">
        <v>138</v>
      </c>
      <c r="E160" t="s">
        <v>25</v>
      </c>
      <c r="F160" s="2" t="s">
        <v>18</v>
      </c>
      <c r="G160" t="s">
        <v>19</v>
      </c>
      <c r="H160">
        <v>10.97</v>
      </c>
      <c r="I160">
        <v>0</v>
      </c>
      <c r="J160">
        <f t="shared" si="2"/>
        <v>10.97</v>
      </c>
    </row>
    <row r="161" spans="1:10" x14ac:dyDescent="0.3">
      <c r="A161" s="1">
        <v>46001</v>
      </c>
      <c r="B161" t="s">
        <v>23</v>
      </c>
      <c r="C161" t="s">
        <v>26</v>
      </c>
      <c r="D161" t="s">
        <v>27</v>
      </c>
      <c r="E161" t="s">
        <v>25</v>
      </c>
      <c r="F161" s="2" t="s">
        <v>28</v>
      </c>
      <c r="G161" t="s">
        <v>29</v>
      </c>
      <c r="H161">
        <v>0</v>
      </c>
      <c r="I161">
        <v>10.97</v>
      </c>
      <c r="J161">
        <f t="shared" si="2"/>
        <v>-10.97</v>
      </c>
    </row>
    <row r="162" spans="1:10" x14ac:dyDescent="0.3">
      <c r="A162" s="1">
        <v>46022</v>
      </c>
      <c r="B162" t="s">
        <v>10</v>
      </c>
      <c r="C162" t="s">
        <v>11</v>
      </c>
      <c r="D162" t="s">
        <v>12</v>
      </c>
      <c r="E162" t="s">
        <v>139</v>
      </c>
      <c r="F162" s="2" t="s">
        <v>14</v>
      </c>
      <c r="G162" t="s">
        <v>15</v>
      </c>
      <c r="H162">
        <v>9.9499999999999993</v>
      </c>
      <c r="I162">
        <v>0</v>
      </c>
      <c r="J162">
        <f t="shared" si="2"/>
        <v>9.9499999999999993</v>
      </c>
    </row>
    <row r="163" spans="1:10" x14ac:dyDescent="0.3">
      <c r="A163" s="1">
        <v>46022</v>
      </c>
      <c r="B163" t="s">
        <v>10</v>
      </c>
      <c r="C163" t="s">
        <v>16</v>
      </c>
      <c r="D163" t="s">
        <v>17</v>
      </c>
      <c r="E163" t="s">
        <v>139</v>
      </c>
      <c r="F163" s="2" t="s">
        <v>18</v>
      </c>
      <c r="G163" t="s">
        <v>19</v>
      </c>
      <c r="H163">
        <v>0</v>
      </c>
      <c r="I163">
        <v>9.9499999999999993</v>
      </c>
      <c r="J163">
        <f t="shared" si="2"/>
        <v>-9.9499999999999993</v>
      </c>
    </row>
    <row r="164" spans="1:10" x14ac:dyDescent="0.3">
      <c r="A164" s="1">
        <v>45658</v>
      </c>
      <c r="B164" t="s">
        <v>140</v>
      </c>
      <c r="C164" t="s">
        <v>26</v>
      </c>
      <c r="D164" t="s">
        <v>141</v>
      </c>
      <c r="F164" s="2" t="s">
        <v>28</v>
      </c>
      <c r="G164" t="s">
        <v>29</v>
      </c>
      <c r="H164">
        <v>10.24</v>
      </c>
      <c r="I164">
        <v>0</v>
      </c>
      <c r="J164">
        <f t="shared" si="2"/>
        <v>10.24</v>
      </c>
    </row>
    <row r="165" spans="1:10" x14ac:dyDescent="0.3">
      <c r="A165" s="1" t="s">
        <v>142</v>
      </c>
      <c r="B165" t="s">
        <v>140</v>
      </c>
      <c r="C165" t="s">
        <v>143</v>
      </c>
      <c r="D165" t="s">
        <v>144</v>
      </c>
      <c r="F165" s="2" t="s">
        <v>145</v>
      </c>
      <c r="G165" t="s">
        <v>146</v>
      </c>
      <c r="H165">
        <v>0</v>
      </c>
      <c r="I165">
        <v>480</v>
      </c>
      <c r="J165">
        <f t="shared" si="2"/>
        <v>-480</v>
      </c>
    </row>
    <row r="166" spans="1:10" x14ac:dyDescent="0.3">
      <c r="A166" s="1" t="s">
        <v>142</v>
      </c>
      <c r="B166" t="s">
        <v>140</v>
      </c>
      <c r="C166" t="s">
        <v>147</v>
      </c>
      <c r="D166" t="s">
        <v>148</v>
      </c>
      <c r="F166" s="2" t="s">
        <v>149</v>
      </c>
      <c r="G166" t="s">
        <v>147</v>
      </c>
      <c r="H166">
        <v>0</v>
      </c>
      <c r="I166">
        <v>1.33</v>
      </c>
      <c r="J166">
        <f t="shared" si="2"/>
        <v>-1.33</v>
      </c>
    </row>
    <row r="167" spans="1:10" x14ac:dyDescent="0.3">
      <c r="A167" s="1">
        <v>45658</v>
      </c>
      <c r="B167" t="s">
        <v>140</v>
      </c>
      <c r="C167" t="s">
        <v>150</v>
      </c>
      <c r="D167" t="s">
        <v>151</v>
      </c>
      <c r="F167" s="2" t="s">
        <v>152</v>
      </c>
      <c r="G167" t="s">
        <v>150</v>
      </c>
      <c r="H167">
        <v>469.76</v>
      </c>
      <c r="I167">
        <v>0</v>
      </c>
      <c r="J167">
        <v>471.09</v>
      </c>
    </row>
    <row r="168" spans="1:10" x14ac:dyDescent="0.3">
      <c r="A168" s="1">
        <v>45784</v>
      </c>
      <c r="B168" t="s">
        <v>23</v>
      </c>
      <c r="C168" t="s">
        <v>26</v>
      </c>
      <c r="D168" t="s">
        <v>153</v>
      </c>
      <c r="F168" s="2" t="s">
        <v>28</v>
      </c>
      <c r="G168" t="s">
        <v>29</v>
      </c>
      <c r="H168">
        <v>50</v>
      </c>
      <c r="I168">
        <v>0</v>
      </c>
      <c r="J168">
        <f t="shared" si="2"/>
        <v>50</v>
      </c>
    </row>
    <row r="169" spans="1:10" x14ac:dyDescent="0.3">
      <c r="A169" s="1">
        <v>45784</v>
      </c>
      <c r="B169" t="s">
        <v>23</v>
      </c>
      <c r="C169" t="s">
        <v>143</v>
      </c>
      <c r="D169" t="s">
        <v>153</v>
      </c>
      <c r="F169" s="2" t="s">
        <v>145</v>
      </c>
      <c r="G169" t="s">
        <v>146</v>
      </c>
      <c r="H169">
        <v>0</v>
      </c>
      <c r="I169">
        <v>50</v>
      </c>
      <c r="J169">
        <f t="shared" si="2"/>
        <v>-50</v>
      </c>
    </row>
    <row r="170" spans="1:10" x14ac:dyDescent="0.3">
      <c r="A170" s="1">
        <v>45667</v>
      </c>
      <c r="B170" t="s">
        <v>23</v>
      </c>
      <c r="C170" t="s">
        <v>26</v>
      </c>
      <c r="D170" t="s">
        <v>154</v>
      </c>
      <c r="F170" s="2" t="s">
        <v>28</v>
      </c>
      <c r="G170" t="s">
        <v>29</v>
      </c>
      <c r="H170">
        <v>0</v>
      </c>
      <c r="I170">
        <v>10.24</v>
      </c>
      <c r="J170">
        <f t="shared" si="2"/>
        <v>-10.24</v>
      </c>
    </row>
    <row r="171" spans="1:10" x14ac:dyDescent="0.3">
      <c r="A171" s="1">
        <v>45667</v>
      </c>
      <c r="B171" t="s">
        <v>23</v>
      </c>
      <c r="C171" t="s">
        <v>11</v>
      </c>
      <c r="D171" t="s">
        <v>12</v>
      </c>
      <c r="F171" s="2" t="s">
        <v>14</v>
      </c>
      <c r="G171" t="s">
        <v>15</v>
      </c>
      <c r="H171">
        <v>10.24</v>
      </c>
      <c r="I171">
        <v>0</v>
      </c>
      <c r="J171">
        <f t="shared" si="2"/>
        <v>10.24</v>
      </c>
    </row>
    <row r="172" spans="1:10" x14ac:dyDescent="0.3">
      <c r="A172" s="1">
        <v>46022</v>
      </c>
      <c r="B172" t="s">
        <v>23</v>
      </c>
      <c r="C172" t="s">
        <v>26</v>
      </c>
      <c r="D172" t="s">
        <v>29</v>
      </c>
      <c r="E172" t="s">
        <v>29</v>
      </c>
      <c r="F172" s="2" t="s">
        <v>28</v>
      </c>
      <c r="G172" t="s">
        <v>29</v>
      </c>
      <c r="H172">
        <v>0.03</v>
      </c>
      <c r="I172">
        <v>0</v>
      </c>
      <c r="J172">
        <f t="shared" si="2"/>
        <v>0.03</v>
      </c>
    </row>
    <row r="173" spans="1:10" x14ac:dyDescent="0.3">
      <c r="A173" s="1">
        <v>46022</v>
      </c>
      <c r="B173" t="s">
        <v>23</v>
      </c>
      <c r="C173" t="s">
        <v>155</v>
      </c>
      <c r="D173" t="s">
        <v>155</v>
      </c>
      <c r="E173" t="s">
        <v>25</v>
      </c>
      <c r="F173" s="2" t="s">
        <v>156</v>
      </c>
      <c r="G173" t="s">
        <v>155</v>
      </c>
      <c r="H173">
        <v>0</v>
      </c>
      <c r="I173">
        <v>0.03</v>
      </c>
      <c r="J173">
        <f t="shared" si="2"/>
        <v>-0.03</v>
      </c>
    </row>
    <row r="174" spans="1:10" x14ac:dyDescent="0.3">
      <c r="J174">
        <f>SUM(J2:J173)</f>
        <v>0</v>
      </c>
    </row>
  </sheetData>
  <autoFilter ref="A1:J174" xr:uid="{DBC2F98C-0D32-42B0-935E-E6F046011B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2DCA-D47E-4CA7-95EC-7E1D7EDD13A1}">
  <dimension ref="A1:J5"/>
  <sheetViews>
    <sheetView workbookViewId="0">
      <selection activeCell="C28" sqref="C28"/>
    </sheetView>
  </sheetViews>
  <sheetFormatPr defaultRowHeight="14.4" x14ac:dyDescent="0.3"/>
  <cols>
    <col min="1" max="1" width="10.33203125" style="1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45658</v>
      </c>
      <c r="B2" t="s">
        <v>140</v>
      </c>
      <c r="C2" t="s">
        <v>26</v>
      </c>
      <c r="D2" t="s">
        <v>141</v>
      </c>
      <c r="F2" s="2" t="s">
        <v>28</v>
      </c>
      <c r="G2" t="s">
        <v>29</v>
      </c>
      <c r="H2">
        <v>10.24</v>
      </c>
      <c r="I2">
        <v>0</v>
      </c>
      <c r="J2">
        <v>10.24</v>
      </c>
    </row>
    <row r="3" spans="1:10" x14ac:dyDescent="0.3">
      <c r="A3" s="1" t="s">
        <v>142</v>
      </c>
      <c r="B3" t="s">
        <v>140</v>
      </c>
      <c r="C3" t="s">
        <v>143</v>
      </c>
      <c r="D3" t="s">
        <v>144</v>
      </c>
      <c r="F3" s="2" t="s">
        <v>145</v>
      </c>
      <c r="G3" t="s">
        <v>146</v>
      </c>
      <c r="H3">
        <v>0</v>
      </c>
      <c r="I3">
        <v>480</v>
      </c>
      <c r="J3">
        <v>-480</v>
      </c>
    </row>
    <row r="4" spans="1:10" x14ac:dyDescent="0.3">
      <c r="A4" s="1" t="s">
        <v>142</v>
      </c>
      <c r="B4" t="s">
        <v>140</v>
      </c>
      <c r="C4" t="s">
        <v>147</v>
      </c>
      <c r="D4" t="s">
        <v>148</v>
      </c>
      <c r="F4" s="2" t="s">
        <v>149</v>
      </c>
      <c r="G4" t="s">
        <v>147</v>
      </c>
      <c r="H4">
        <v>0</v>
      </c>
      <c r="I4">
        <v>1.33</v>
      </c>
      <c r="J4">
        <v>-1.33</v>
      </c>
    </row>
    <row r="5" spans="1:10" x14ac:dyDescent="0.3">
      <c r="A5" s="1">
        <v>45658</v>
      </c>
      <c r="B5" t="s">
        <v>140</v>
      </c>
      <c r="C5" t="s">
        <v>150</v>
      </c>
      <c r="D5" t="s">
        <v>151</v>
      </c>
      <c r="F5" s="2" t="s">
        <v>152</v>
      </c>
      <c r="G5" t="s">
        <v>150</v>
      </c>
      <c r="H5">
        <v>469.76</v>
      </c>
      <c r="I5">
        <v>0</v>
      </c>
      <c r="J5">
        <v>471.09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09D7-5AD3-4C89-8544-2A5AE180338D}">
  <dimension ref="A1:F14"/>
  <sheetViews>
    <sheetView tabSelected="1" workbookViewId="0">
      <selection activeCell="J10" sqref="J10"/>
    </sheetView>
  </sheetViews>
  <sheetFormatPr defaultRowHeight="14.4" x14ac:dyDescent="0.3"/>
  <cols>
    <col min="2" max="2" width="26.44140625" bestFit="1" customWidth="1"/>
    <col min="6" max="6" width="12" bestFit="1" customWidth="1"/>
  </cols>
  <sheetData>
    <row r="1" spans="1:6" x14ac:dyDescent="0.3">
      <c r="A1" t="s">
        <v>5</v>
      </c>
      <c r="B1" t="s">
        <v>6</v>
      </c>
      <c r="C1" t="s">
        <v>140</v>
      </c>
      <c r="D1" t="s">
        <v>7</v>
      </c>
      <c r="E1" t="s">
        <v>8</v>
      </c>
      <c r="F1" t="s">
        <v>9</v>
      </c>
    </row>
    <row r="2" spans="1:6" x14ac:dyDescent="0.3">
      <c r="A2" t="s">
        <v>28</v>
      </c>
      <c r="B2" t="s">
        <v>29</v>
      </c>
      <c r="C2">
        <f>IFERROR(VLOOKUP(A2,'Početno stanje'!F:J,5,0),0)</f>
        <v>10.24</v>
      </c>
      <c r="D2">
        <v>12575.710000000001</v>
      </c>
      <c r="E2">
        <v>10898.779999999999</v>
      </c>
      <c r="F2">
        <f>C2+D2-E2</f>
        <v>1687.1700000000019</v>
      </c>
    </row>
    <row r="3" spans="1:6" x14ac:dyDescent="0.3">
      <c r="A3" t="s">
        <v>42</v>
      </c>
      <c r="B3" t="s">
        <v>43</v>
      </c>
      <c r="C3">
        <f>IFERROR(VLOOKUP(A3,'Početno stanje'!F:J,5,0),0)</f>
        <v>0</v>
      </c>
      <c r="D3">
        <v>12525.68</v>
      </c>
      <c r="E3">
        <v>12525.68</v>
      </c>
      <c r="F3">
        <f t="shared" ref="F3:F13" si="0">C3+D3-E3</f>
        <v>0</v>
      </c>
    </row>
    <row r="4" spans="1:6" x14ac:dyDescent="0.3">
      <c r="A4" t="s">
        <v>145</v>
      </c>
      <c r="B4" t="s">
        <v>146</v>
      </c>
      <c r="C4">
        <f>IFERROR(VLOOKUP(A4,'Početno stanje'!F:J,5,0),0)</f>
        <v>-480</v>
      </c>
      <c r="D4">
        <v>0</v>
      </c>
      <c r="E4">
        <v>50</v>
      </c>
      <c r="F4">
        <f t="shared" si="0"/>
        <v>-530</v>
      </c>
    </row>
    <row r="5" spans="1:6" x14ac:dyDescent="0.3">
      <c r="A5" t="s">
        <v>18</v>
      </c>
      <c r="B5" t="s">
        <v>19</v>
      </c>
      <c r="C5">
        <f>IFERROR(VLOOKUP(A5,'Početno stanje'!F:J,5,0),0)</f>
        <v>0</v>
      </c>
      <c r="D5">
        <v>10888.539999999999</v>
      </c>
      <c r="E5">
        <v>10898.49</v>
      </c>
      <c r="F5">
        <f t="shared" si="0"/>
        <v>-9.9500000000007276</v>
      </c>
    </row>
    <row r="6" spans="1:6" x14ac:dyDescent="0.3">
      <c r="A6" t="s">
        <v>48</v>
      </c>
      <c r="B6" t="s">
        <v>49</v>
      </c>
      <c r="C6">
        <f>IFERROR(VLOOKUP(A6,'Početno stanje'!F:J,5,0),0)</f>
        <v>0</v>
      </c>
      <c r="D6">
        <v>10093.23</v>
      </c>
      <c r="E6">
        <v>0</v>
      </c>
      <c r="F6">
        <f t="shared" si="0"/>
        <v>10093.23</v>
      </c>
    </row>
    <row r="7" spans="1:6" x14ac:dyDescent="0.3">
      <c r="A7" t="s">
        <v>36</v>
      </c>
      <c r="B7" t="s">
        <v>37</v>
      </c>
      <c r="C7">
        <f>IFERROR(VLOOKUP(A7,'Početno stanje'!F:J,5,0),0)</f>
        <v>0</v>
      </c>
      <c r="D7">
        <v>669.59</v>
      </c>
      <c r="E7">
        <v>0</v>
      </c>
      <c r="F7">
        <f t="shared" si="0"/>
        <v>669.59</v>
      </c>
    </row>
    <row r="8" spans="1:6" x14ac:dyDescent="0.3">
      <c r="A8" t="s">
        <v>14</v>
      </c>
      <c r="B8" t="s">
        <v>15</v>
      </c>
      <c r="C8">
        <f>IFERROR(VLOOKUP(A8,'Početno stanje'!F:J,5,0),0)</f>
        <v>0</v>
      </c>
      <c r="D8">
        <v>137.94999999999999</v>
      </c>
      <c r="E8">
        <v>0</v>
      </c>
      <c r="F8">
        <f t="shared" si="0"/>
        <v>137.94999999999999</v>
      </c>
    </row>
    <row r="9" spans="1:6" x14ac:dyDescent="0.3">
      <c r="A9" t="s">
        <v>133</v>
      </c>
      <c r="B9" t="s">
        <v>134</v>
      </c>
      <c r="C9">
        <f>IFERROR(VLOOKUP(A9,'Početno stanje'!F:J,5,0),0)</f>
        <v>0</v>
      </c>
      <c r="D9">
        <v>7.96</v>
      </c>
      <c r="E9">
        <v>0</v>
      </c>
      <c r="F9">
        <f t="shared" si="0"/>
        <v>7.96</v>
      </c>
    </row>
    <row r="10" spans="1:6" x14ac:dyDescent="0.3">
      <c r="A10" t="s">
        <v>55</v>
      </c>
      <c r="B10" t="s">
        <v>56</v>
      </c>
      <c r="C10">
        <f>IFERROR(VLOOKUP(A10,'Početno stanje'!F:J,5,0),0)</f>
        <v>0</v>
      </c>
      <c r="D10">
        <v>0</v>
      </c>
      <c r="E10">
        <v>12525.68</v>
      </c>
      <c r="F10">
        <f t="shared" si="0"/>
        <v>-12525.68</v>
      </c>
    </row>
    <row r="11" spans="1:6" x14ac:dyDescent="0.3">
      <c r="A11" t="s">
        <v>156</v>
      </c>
      <c r="B11" t="s">
        <v>155</v>
      </c>
      <c r="C11">
        <f>IFERROR(VLOOKUP(A11,'Početno stanje'!F:J,5,0),0)</f>
        <v>0</v>
      </c>
      <c r="D11">
        <v>0</v>
      </c>
      <c r="E11">
        <v>0.03</v>
      </c>
      <c r="F11">
        <f t="shared" si="0"/>
        <v>-0.03</v>
      </c>
    </row>
    <row r="12" spans="1:6" x14ac:dyDescent="0.3">
      <c r="A12" t="s">
        <v>149</v>
      </c>
      <c r="B12" t="s">
        <v>147</v>
      </c>
      <c r="C12">
        <f>IFERROR(VLOOKUP(A12,'Početno stanje'!F:J,5,0),0)</f>
        <v>-1.33</v>
      </c>
      <c r="F12">
        <f t="shared" si="0"/>
        <v>-1.33</v>
      </c>
    </row>
    <row r="13" spans="1:6" x14ac:dyDescent="0.3">
      <c r="A13" t="s">
        <v>152</v>
      </c>
      <c r="B13" t="s">
        <v>150</v>
      </c>
      <c r="C13">
        <f>IFERROR(VLOOKUP(A13,'Početno stanje'!F:J,5,0),0)</f>
        <v>471.09</v>
      </c>
      <c r="F13">
        <f t="shared" si="0"/>
        <v>471.09</v>
      </c>
    </row>
    <row r="14" spans="1:6" x14ac:dyDescent="0.3">
      <c r="A14" t="s">
        <v>162</v>
      </c>
      <c r="F14">
        <v>-1616.98</v>
      </c>
    </row>
  </sheetData>
  <autoFilter ref="A1:F13" xr:uid="{89D609D7-5AD3-4C89-8544-2A5AE180338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B1BA-2AF3-417B-AE5F-2136128ED96A}">
  <dimension ref="A1:J131"/>
  <sheetViews>
    <sheetView topLeftCell="A130" workbookViewId="0">
      <selection activeCell="J132" sqref="J132"/>
    </sheetView>
  </sheetViews>
  <sheetFormatPr defaultRowHeight="14.4" x14ac:dyDescent="0.3"/>
  <cols>
    <col min="1" max="1" width="10.33203125" style="1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45688</v>
      </c>
      <c r="B2" t="s">
        <v>10</v>
      </c>
      <c r="C2" t="s">
        <v>16</v>
      </c>
      <c r="D2" t="s">
        <v>17</v>
      </c>
      <c r="E2" t="s">
        <v>13</v>
      </c>
      <c r="F2" t="s">
        <v>18</v>
      </c>
      <c r="G2" t="s">
        <v>19</v>
      </c>
      <c r="H2">
        <v>0</v>
      </c>
      <c r="I2">
        <v>11.11</v>
      </c>
      <c r="J2">
        <v>-11.11</v>
      </c>
    </row>
    <row r="3" spans="1:10" x14ac:dyDescent="0.3">
      <c r="A3" s="1">
        <v>45716</v>
      </c>
      <c r="B3" t="s">
        <v>10</v>
      </c>
      <c r="C3" t="s">
        <v>16</v>
      </c>
      <c r="D3" t="s">
        <v>17</v>
      </c>
      <c r="E3" t="s">
        <v>20</v>
      </c>
      <c r="F3" t="s">
        <v>18</v>
      </c>
      <c r="G3" t="s">
        <v>19</v>
      </c>
      <c r="H3">
        <v>0</v>
      </c>
      <c r="I3">
        <v>9.9499999999999993</v>
      </c>
      <c r="J3">
        <v>-9.9499999999999993</v>
      </c>
    </row>
    <row r="4" spans="1:10" x14ac:dyDescent="0.3">
      <c r="A4" s="1">
        <v>45747</v>
      </c>
      <c r="B4" t="s">
        <v>10</v>
      </c>
      <c r="C4" t="s">
        <v>16</v>
      </c>
      <c r="D4" t="s">
        <v>17</v>
      </c>
      <c r="E4" t="s">
        <v>21</v>
      </c>
      <c r="F4" t="s">
        <v>18</v>
      </c>
      <c r="G4" t="s">
        <v>19</v>
      </c>
      <c r="H4">
        <v>0</v>
      </c>
      <c r="I4">
        <v>9.9499999999999993</v>
      </c>
      <c r="J4">
        <v>-9.9499999999999993</v>
      </c>
    </row>
    <row r="5" spans="1:10" x14ac:dyDescent="0.3">
      <c r="A5" s="1">
        <v>45777</v>
      </c>
      <c r="B5" t="s">
        <v>10</v>
      </c>
      <c r="C5" t="s">
        <v>16</v>
      </c>
      <c r="D5" t="s">
        <v>17</v>
      </c>
      <c r="E5" t="s">
        <v>22</v>
      </c>
      <c r="F5" t="s">
        <v>18</v>
      </c>
      <c r="G5" t="s">
        <v>19</v>
      </c>
      <c r="H5">
        <v>0</v>
      </c>
      <c r="I5">
        <v>9.9499999999999993</v>
      </c>
      <c r="J5">
        <v>-9.9499999999999993</v>
      </c>
    </row>
    <row r="6" spans="1:10" x14ac:dyDescent="0.3">
      <c r="A6" s="1">
        <v>45784</v>
      </c>
      <c r="B6" t="s">
        <v>23</v>
      </c>
      <c r="C6" t="s">
        <v>16</v>
      </c>
      <c r="D6" t="s">
        <v>24</v>
      </c>
      <c r="E6" t="s">
        <v>25</v>
      </c>
      <c r="F6" t="s">
        <v>18</v>
      </c>
      <c r="G6" t="s">
        <v>19</v>
      </c>
      <c r="H6">
        <v>11.11</v>
      </c>
      <c r="I6">
        <v>0</v>
      </c>
      <c r="J6">
        <v>11.11</v>
      </c>
    </row>
    <row r="7" spans="1:10" x14ac:dyDescent="0.3">
      <c r="A7" s="1">
        <v>45784</v>
      </c>
      <c r="B7" t="s">
        <v>23</v>
      </c>
      <c r="C7" t="s">
        <v>26</v>
      </c>
      <c r="D7" t="s">
        <v>27</v>
      </c>
      <c r="E7" t="s">
        <v>25</v>
      </c>
      <c r="F7" t="s">
        <v>28</v>
      </c>
      <c r="G7" t="s">
        <v>29</v>
      </c>
      <c r="H7">
        <v>0</v>
      </c>
      <c r="I7">
        <v>11.11</v>
      </c>
      <c r="J7">
        <v>-11.11</v>
      </c>
    </row>
    <row r="8" spans="1:10" x14ac:dyDescent="0.3">
      <c r="A8" s="1">
        <v>45784</v>
      </c>
      <c r="B8" t="s">
        <v>23</v>
      </c>
      <c r="C8" t="s">
        <v>16</v>
      </c>
      <c r="D8" t="s">
        <v>30</v>
      </c>
      <c r="E8" t="s">
        <v>25</v>
      </c>
      <c r="F8" t="s">
        <v>18</v>
      </c>
      <c r="G8" t="s">
        <v>19</v>
      </c>
      <c r="H8">
        <v>9.9499999999999993</v>
      </c>
      <c r="I8">
        <v>0</v>
      </c>
      <c r="J8">
        <v>9.9499999999999993</v>
      </c>
    </row>
    <row r="9" spans="1:10" x14ac:dyDescent="0.3">
      <c r="A9" s="1">
        <v>45784</v>
      </c>
      <c r="B9" t="s">
        <v>23</v>
      </c>
      <c r="C9" t="s">
        <v>26</v>
      </c>
      <c r="D9" t="s">
        <v>27</v>
      </c>
      <c r="E9" t="s">
        <v>25</v>
      </c>
      <c r="F9" t="s">
        <v>28</v>
      </c>
      <c r="G9" t="s">
        <v>29</v>
      </c>
      <c r="H9">
        <v>0</v>
      </c>
      <c r="I9">
        <v>9.9499999999999993</v>
      </c>
      <c r="J9">
        <v>-9.9499999999999993</v>
      </c>
    </row>
    <row r="10" spans="1:10" x14ac:dyDescent="0.3">
      <c r="A10" s="1">
        <v>45784</v>
      </c>
      <c r="B10" t="s">
        <v>23</v>
      </c>
      <c r="C10" t="s">
        <v>16</v>
      </c>
      <c r="D10" t="s">
        <v>31</v>
      </c>
      <c r="E10" t="s">
        <v>25</v>
      </c>
      <c r="F10" t="s">
        <v>18</v>
      </c>
      <c r="G10" t="s">
        <v>19</v>
      </c>
      <c r="H10">
        <v>9.9499999999999993</v>
      </c>
      <c r="I10">
        <v>0</v>
      </c>
      <c r="J10">
        <v>9.9499999999999993</v>
      </c>
    </row>
    <row r="11" spans="1:10" x14ac:dyDescent="0.3">
      <c r="A11" s="1">
        <v>45784</v>
      </c>
      <c r="B11" t="s">
        <v>23</v>
      </c>
      <c r="C11" t="s">
        <v>26</v>
      </c>
      <c r="D11" t="s">
        <v>27</v>
      </c>
      <c r="E11" t="s">
        <v>25</v>
      </c>
      <c r="F11" t="s">
        <v>28</v>
      </c>
      <c r="G11" t="s">
        <v>29</v>
      </c>
      <c r="H11">
        <v>0</v>
      </c>
      <c r="I11">
        <v>9.9499999999999993</v>
      </c>
      <c r="J11">
        <v>-9.9499999999999993</v>
      </c>
    </row>
    <row r="12" spans="1:10" x14ac:dyDescent="0.3">
      <c r="A12" s="1">
        <v>45785</v>
      </c>
      <c r="B12" t="s">
        <v>23</v>
      </c>
      <c r="C12" t="s">
        <v>32</v>
      </c>
      <c r="D12" t="s">
        <v>33</v>
      </c>
      <c r="E12" t="s">
        <v>25</v>
      </c>
      <c r="F12" t="s">
        <v>18</v>
      </c>
      <c r="G12" t="s">
        <v>19</v>
      </c>
      <c r="H12">
        <v>252</v>
      </c>
      <c r="I12">
        <v>0</v>
      </c>
      <c r="J12">
        <v>252</v>
      </c>
    </row>
    <row r="13" spans="1:10" x14ac:dyDescent="0.3">
      <c r="A13" s="1">
        <v>45785</v>
      </c>
      <c r="B13" t="s">
        <v>23</v>
      </c>
      <c r="C13" t="s">
        <v>26</v>
      </c>
      <c r="D13" t="s">
        <v>27</v>
      </c>
      <c r="E13" t="s">
        <v>25</v>
      </c>
      <c r="F13" t="s">
        <v>28</v>
      </c>
      <c r="G13" t="s">
        <v>29</v>
      </c>
      <c r="H13">
        <v>0</v>
      </c>
      <c r="I13">
        <v>252</v>
      </c>
      <c r="J13">
        <v>-252</v>
      </c>
    </row>
    <row r="14" spans="1:10" x14ac:dyDescent="0.3">
      <c r="A14" s="1">
        <v>45786</v>
      </c>
      <c r="B14" t="s">
        <v>10</v>
      </c>
      <c r="C14" t="s">
        <v>32</v>
      </c>
      <c r="D14" t="s">
        <v>17</v>
      </c>
      <c r="E14" t="s">
        <v>35</v>
      </c>
      <c r="F14" t="s">
        <v>18</v>
      </c>
      <c r="G14" t="s">
        <v>19</v>
      </c>
      <c r="H14">
        <v>0</v>
      </c>
      <c r="I14">
        <v>252</v>
      </c>
      <c r="J14">
        <v>-252</v>
      </c>
    </row>
    <row r="15" spans="1:10" x14ac:dyDescent="0.3">
      <c r="A15" s="1">
        <v>45789</v>
      </c>
      <c r="B15" t="s">
        <v>23</v>
      </c>
      <c r="C15" t="s">
        <v>16</v>
      </c>
      <c r="D15" t="s">
        <v>38</v>
      </c>
      <c r="E15" t="s">
        <v>25</v>
      </c>
      <c r="F15" t="s">
        <v>18</v>
      </c>
      <c r="G15" t="s">
        <v>19</v>
      </c>
      <c r="H15">
        <v>9.9499999999999993</v>
      </c>
      <c r="I15">
        <v>0</v>
      </c>
      <c r="J15">
        <v>9.9499999999999993</v>
      </c>
    </row>
    <row r="16" spans="1:10" x14ac:dyDescent="0.3">
      <c r="A16" s="1">
        <v>45789</v>
      </c>
      <c r="B16" t="s">
        <v>23</v>
      </c>
      <c r="C16" t="s">
        <v>26</v>
      </c>
      <c r="D16" t="s">
        <v>27</v>
      </c>
      <c r="E16" t="s">
        <v>25</v>
      </c>
      <c r="F16" t="s">
        <v>28</v>
      </c>
      <c r="G16" t="s">
        <v>29</v>
      </c>
      <c r="H16">
        <v>0</v>
      </c>
      <c r="I16">
        <v>9.9499999999999993</v>
      </c>
      <c r="J16">
        <v>-9.9499999999999993</v>
      </c>
    </row>
    <row r="17" spans="1:10" x14ac:dyDescent="0.3">
      <c r="A17" s="1">
        <v>45791</v>
      </c>
      <c r="B17" t="s">
        <v>23</v>
      </c>
      <c r="C17" t="s">
        <v>26</v>
      </c>
      <c r="D17" t="s">
        <v>39</v>
      </c>
      <c r="E17" t="s">
        <v>25</v>
      </c>
      <c r="F17" t="s">
        <v>28</v>
      </c>
      <c r="G17" t="s">
        <v>29</v>
      </c>
      <c r="H17">
        <v>2045.2</v>
      </c>
      <c r="I17">
        <v>0</v>
      </c>
      <c r="J17">
        <v>2045.2</v>
      </c>
    </row>
    <row r="18" spans="1:10" x14ac:dyDescent="0.3">
      <c r="A18" s="1">
        <v>45791</v>
      </c>
      <c r="B18" t="s">
        <v>23</v>
      </c>
      <c r="C18" t="s">
        <v>40</v>
      </c>
      <c r="D18" t="s">
        <v>41</v>
      </c>
      <c r="E18" t="s">
        <v>25</v>
      </c>
      <c r="F18" t="s">
        <v>42</v>
      </c>
      <c r="G18" t="s">
        <v>43</v>
      </c>
      <c r="H18">
        <v>0</v>
      </c>
      <c r="I18">
        <v>2045.2</v>
      </c>
      <c r="J18">
        <v>-2045.2</v>
      </c>
    </row>
    <row r="19" spans="1:10" x14ac:dyDescent="0.3">
      <c r="A19" s="1">
        <v>45791</v>
      </c>
      <c r="B19" t="s">
        <v>23</v>
      </c>
      <c r="C19" t="s">
        <v>44</v>
      </c>
      <c r="D19" t="s">
        <v>45</v>
      </c>
      <c r="E19" t="s">
        <v>25</v>
      </c>
      <c r="F19" t="s">
        <v>18</v>
      </c>
      <c r="G19" t="s">
        <v>19</v>
      </c>
      <c r="H19">
        <v>1612</v>
      </c>
      <c r="I19">
        <v>0</v>
      </c>
      <c r="J19">
        <v>1612</v>
      </c>
    </row>
    <row r="20" spans="1:10" x14ac:dyDescent="0.3">
      <c r="A20" s="1">
        <v>45791</v>
      </c>
      <c r="B20" t="s">
        <v>23</v>
      </c>
      <c r="C20" t="s">
        <v>26</v>
      </c>
      <c r="D20" t="s">
        <v>27</v>
      </c>
      <c r="E20" t="s">
        <v>25</v>
      </c>
      <c r="F20" t="s">
        <v>28</v>
      </c>
      <c r="G20" t="s">
        <v>29</v>
      </c>
      <c r="H20">
        <v>0</v>
      </c>
      <c r="I20">
        <v>1612</v>
      </c>
      <c r="J20">
        <v>-1612</v>
      </c>
    </row>
    <row r="21" spans="1:10" x14ac:dyDescent="0.3">
      <c r="A21" s="1">
        <v>45792</v>
      </c>
      <c r="B21" t="s">
        <v>10</v>
      </c>
      <c r="C21" t="s">
        <v>44</v>
      </c>
      <c r="D21" t="s">
        <v>17</v>
      </c>
      <c r="E21" t="s">
        <v>47</v>
      </c>
      <c r="F21" t="s">
        <v>18</v>
      </c>
      <c r="G21" t="s">
        <v>19</v>
      </c>
      <c r="H21">
        <v>0</v>
      </c>
      <c r="I21">
        <v>1612</v>
      </c>
      <c r="J21">
        <v>-1612</v>
      </c>
    </row>
    <row r="22" spans="1:10" x14ac:dyDescent="0.3">
      <c r="A22" s="1">
        <v>45792</v>
      </c>
      <c r="B22" t="s">
        <v>50</v>
      </c>
      <c r="C22" t="s">
        <v>40</v>
      </c>
      <c r="D22" t="s">
        <v>51</v>
      </c>
      <c r="E22" t="s">
        <v>52</v>
      </c>
      <c r="F22" t="s">
        <v>42</v>
      </c>
      <c r="G22" t="s">
        <v>43</v>
      </c>
      <c r="H22">
        <v>2045.2</v>
      </c>
      <c r="I22">
        <v>0</v>
      </c>
      <c r="J22">
        <v>2045.2</v>
      </c>
    </row>
    <row r="23" spans="1:10" x14ac:dyDescent="0.3">
      <c r="A23" s="1">
        <v>45798</v>
      </c>
      <c r="B23" t="s">
        <v>23</v>
      </c>
      <c r="C23" t="s">
        <v>26</v>
      </c>
      <c r="D23" t="s">
        <v>39</v>
      </c>
      <c r="E23" t="s">
        <v>25</v>
      </c>
      <c r="F23" t="s">
        <v>28</v>
      </c>
      <c r="G23" t="s">
        <v>29</v>
      </c>
      <c r="H23">
        <v>114.97</v>
      </c>
      <c r="I23">
        <v>0</v>
      </c>
      <c r="J23">
        <v>114.97</v>
      </c>
    </row>
    <row r="24" spans="1:10" x14ac:dyDescent="0.3">
      <c r="A24" s="1">
        <v>45798</v>
      </c>
      <c r="B24" t="s">
        <v>23</v>
      </c>
      <c r="C24" t="s">
        <v>57</v>
      </c>
      <c r="D24" t="s">
        <v>58</v>
      </c>
      <c r="E24" t="s">
        <v>25</v>
      </c>
      <c r="F24" t="s">
        <v>42</v>
      </c>
      <c r="G24" t="s">
        <v>43</v>
      </c>
      <c r="H24">
        <v>0</v>
      </c>
      <c r="I24">
        <v>114.97</v>
      </c>
      <c r="J24">
        <v>-114.97</v>
      </c>
    </row>
    <row r="25" spans="1:10" x14ac:dyDescent="0.3">
      <c r="A25" s="1">
        <v>45798</v>
      </c>
      <c r="B25" t="s">
        <v>23</v>
      </c>
      <c r="C25" t="s">
        <v>44</v>
      </c>
      <c r="D25" t="s">
        <v>59</v>
      </c>
      <c r="E25" t="s">
        <v>25</v>
      </c>
      <c r="F25" t="s">
        <v>18</v>
      </c>
      <c r="G25" t="s">
        <v>19</v>
      </c>
      <c r="H25">
        <v>92.13</v>
      </c>
      <c r="I25">
        <v>0</v>
      </c>
      <c r="J25">
        <v>92.13</v>
      </c>
    </row>
    <row r="26" spans="1:10" x14ac:dyDescent="0.3">
      <c r="A26" s="1">
        <v>45798</v>
      </c>
      <c r="B26" t="s">
        <v>23</v>
      </c>
      <c r="C26" t="s">
        <v>26</v>
      </c>
      <c r="D26" t="s">
        <v>27</v>
      </c>
      <c r="E26" t="s">
        <v>25</v>
      </c>
      <c r="F26" t="s">
        <v>28</v>
      </c>
      <c r="G26" t="s">
        <v>29</v>
      </c>
      <c r="H26">
        <v>0</v>
      </c>
      <c r="I26">
        <v>92.13</v>
      </c>
      <c r="J26">
        <v>-92.13</v>
      </c>
    </row>
    <row r="27" spans="1:10" x14ac:dyDescent="0.3">
      <c r="A27" s="1">
        <v>45799</v>
      </c>
      <c r="B27" t="s">
        <v>10</v>
      </c>
      <c r="C27" t="s">
        <v>44</v>
      </c>
      <c r="D27" t="s">
        <v>17</v>
      </c>
      <c r="E27" t="s">
        <v>60</v>
      </c>
      <c r="F27" t="s">
        <v>18</v>
      </c>
      <c r="G27" t="s">
        <v>19</v>
      </c>
      <c r="H27">
        <v>0</v>
      </c>
      <c r="I27">
        <v>92.13</v>
      </c>
      <c r="J27">
        <v>-92.13</v>
      </c>
    </row>
    <row r="28" spans="1:10" x14ac:dyDescent="0.3">
      <c r="A28" s="1">
        <v>45799</v>
      </c>
      <c r="B28" t="s">
        <v>50</v>
      </c>
      <c r="C28" t="s">
        <v>57</v>
      </c>
      <c r="D28" t="s">
        <v>51</v>
      </c>
      <c r="E28" t="s">
        <v>61</v>
      </c>
      <c r="F28" t="s">
        <v>42</v>
      </c>
      <c r="G28" t="s">
        <v>43</v>
      </c>
      <c r="H28">
        <v>114.97</v>
      </c>
      <c r="I28">
        <v>0</v>
      </c>
      <c r="J28">
        <v>114.97</v>
      </c>
    </row>
    <row r="29" spans="1:10" x14ac:dyDescent="0.3">
      <c r="A29" s="1">
        <v>45808</v>
      </c>
      <c r="B29" t="s">
        <v>10</v>
      </c>
      <c r="C29" t="s">
        <v>16</v>
      </c>
      <c r="D29" t="s">
        <v>17</v>
      </c>
      <c r="E29" t="s">
        <v>62</v>
      </c>
      <c r="F29" t="s">
        <v>18</v>
      </c>
      <c r="G29" t="s">
        <v>19</v>
      </c>
      <c r="H29">
        <v>0</v>
      </c>
      <c r="I29">
        <v>11.78</v>
      </c>
      <c r="J29">
        <v>-11.78</v>
      </c>
    </row>
    <row r="30" spans="1:10" x14ac:dyDescent="0.3">
      <c r="A30" s="1">
        <v>45818</v>
      </c>
      <c r="B30" t="s">
        <v>23</v>
      </c>
      <c r="C30" t="s">
        <v>16</v>
      </c>
      <c r="D30" t="s">
        <v>63</v>
      </c>
      <c r="E30" t="s">
        <v>25</v>
      </c>
      <c r="F30" t="s">
        <v>18</v>
      </c>
      <c r="G30" t="s">
        <v>19</v>
      </c>
      <c r="H30">
        <v>11.78</v>
      </c>
      <c r="I30">
        <v>0</v>
      </c>
      <c r="J30">
        <v>11.78</v>
      </c>
    </row>
    <row r="31" spans="1:10" x14ac:dyDescent="0.3">
      <c r="A31" s="1">
        <v>45818</v>
      </c>
      <c r="B31" t="s">
        <v>23</v>
      </c>
      <c r="C31" t="s">
        <v>26</v>
      </c>
      <c r="D31" t="s">
        <v>27</v>
      </c>
      <c r="E31" t="s">
        <v>25</v>
      </c>
      <c r="F31" t="s">
        <v>28</v>
      </c>
      <c r="G31" t="s">
        <v>29</v>
      </c>
      <c r="H31">
        <v>0</v>
      </c>
      <c r="I31">
        <v>11.78</v>
      </c>
      <c r="J31">
        <v>-11.78</v>
      </c>
    </row>
    <row r="32" spans="1:10" x14ac:dyDescent="0.3">
      <c r="A32" s="1">
        <v>45821</v>
      </c>
      <c r="B32" t="s">
        <v>10</v>
      </c>
      <c r="C32" t="s">
        <v>44</v>
      </c>
      <c r="D32" t="s">
        <v>17</v>
      </c>
      <c r="E32" t="s">
        <v>64</v>
      </c>
      <c r="F32" t="s">
        <v>18</v>
      </c>
      <c r="G32" t="s">
        <v>19</v>
      </c>
      <c r="H32">
        <v>0</v>
      </c>
      <c r="I32">
        <v>57.81</v>
      </c>
      <c r="J32">
        <v>-57.81</v>
      </c>
    </row>
    <row r="33" spans="1:10" x14ac:dyDescent="0.3">
      <c r="A33" s="1">
        <v>45824</v>
      </c>
      <c r="B33" t="s">
        <v>23</v>
      </c>
      <c r="C33" t="s">
        <v>44</v>
      </c>
      <c r="D33" t="s">
        <v>65</v>
      </c>
      <c r="E33" t="s">
        <v>25</v>
      </c>
      <c r="F33" t="s">
        <v>18</v>
      </c>
      <c r="G33" t="s">
        <v>19</v>
      </c>
      <c r="H33">
        <v>57.81</v>
      </c>
      <c r="I33">
        <v>0</v>
      </c>
      <c r="J33">
        <v>57.81</v>
      </c>
    </row>
    <row r="34" spans="1:10" x14ac:dyDescent="0.3">
      <c r="A34" s="1">
        <v>45824</v>
      </c>
      <c r="B34" t="s">
        <v>23</v>
      </c>
      <c r="C34" t="s">
        <v>26</v>
      </c>
      <c r="D34" t="s">
        <v>27</v>
      </c>
      <c r="E34" t="s">
        <v>25</v>
      </c>
      <c r="F34" t="s">
        <v>28</v>
      </c>
      <c r="G34" t="s">
        <v>29</v>
      </c>
      <c r="H34">
        <v>0</v>
      </c>
      <c r="I34">
        <v>57.81</v>
      </c>
      <c r="J34">
        <v>-57.81</v>
      </c>
    </row>
    <row r="35" spans="1:10" x14ac:dyDescent="0.3">
      <c r="A35" s="1">
        <v>45825</v>
      </c>
      <c r="B35" t="s">
        <v>50</v>
      </c>
      <c r="C35" t="s">
        <v>66</v>
      </c>
      <c r="D35" t="s">
        <v>51</v>
      </c>
      <c r="E35" t="s">
        <v>67</v>
      </c>
      <c r="F35" t="s">
        <v>42</v>
      </c>
      <c r="G35" t="s">
        <v>43</v>
      </c>
      <c r="H35">
        <v>59.7</v>
      </c>
      <c r="I35">
        <v>0</v>
      </c>
      <c r="J35">
        <v>59.7</v>
      </c>
    </row>
    <row r="36" spans="1:10" x14ac:dyDescent="0.3">
      <c r="A36" s="1">
        <v>45825</v>
      </c>
      <c r="B36" t="s">
        <v>23</v>
      </c>
      <c r="C36" t="s">
        <v>26</v>
      </c>
      <c r="D36" t="s">
        <v>39</v>
      </c>
      <c r="E36" t="s">
        <v>25</v>
      </c>
      <c r="F36" t="s">
        <v>28</v>
      </c>
      <c r="G36" t="s">
        <v>29</v>
      </c>
      <c r="H36">
        <v>59.7</v>
      </c>
      <c r="I36">
        <v>0</v>
      </c>
      <c r="J36">
        <v>59.7</v>
      </c>
    </row>
    <row r="37" spans="1:10" x14ac:dyDescent="0.3">
      <c r="A37" s="1">
        <v>45825</v>
      </c>
      <c r="B37" t="s">
        <v>23</v>
      </c>
      <c r="C37" t="s">
        <v>66</v>
      </c>
      <c r="D37" t="s">
        <v>68</v>
      </c>
      <c r="E37" t="s">
        <v>25</v>
      </c>
      <c r="F37" t="s">
        <v>42</v>
      </c>
      <c r="G37" t="s">
        <v>43</v>
      </c>
      <c r="H37">
        <v>0</v>
      </c>
      <c r="I37">
        <v>59.7</v>
      </c>
      <c r="J37">
        <v>-59.7</v>
      </c>
    </row>
    <row r="38" spans="1:10" x14ac:dyDescent="0.3">
      <c r="A38" s="1">
        <v>45838</v>
      </c>
      <c r="B38" t="s">
        <v>10</v>
      </c>
      <c r="C38" t="s">
        <v>16</v>
      </c>
      <c r="D38" t="s">
        <v>17</v>
      </c>
      <c r="E38" t="s">
        <v>69</v>
      </c>
      <c r="F38" t="s">
        <v>18</v>
      </c>
      <c r="G38" t="s">
        <v>19</v>
      </c>
      <c r="H38">
        <v>0</v>
      </c>
      <c r="I38">
        <v>10.38</v>
      </c>
      <c r="J38">
        <v>-10.38</v>
      </c>
    </row>
    <row r="39" spans="1:10" x14ac:dyDescent="0.3">
      <c r="A39" s="1">
        <v>45841</v>
      </c>
      <c r="B39" t="s">
        <v>10</v>
      </c>
      <c r="C39" t="s">
        <v>44</v>
      </c>
      <c r="D39" t="s">
        <v>17</v>
      </c>
      <c r="E39" t="s">
        <v>70</v>
      </c>
      <c r="F39" t="s">
        <v>18</v>
      </c>
      <c r="G39" t="s">
        <v>19</v>
      </c>
      <c r="H39">
        <v>0</v>
      </c>
      <c r="I39">
        <v>96.25</v>
      </c>
      <c r="J39">
        <v>-96.25</v>
      </c>
    </row>
    <row r="40" spans="1:10" x14ac:dyDescent="0.3">
      <c r="A40" s="1">
        <v>45841</v>
      </c>
      <c r="B40" t="s">
        <v>50</v>
      </c>
      <c r="C40" t="s">
        <v>71</v>
      </c>
      <c r="D40" t="s">
        <v>51</v>
      </c>
      <c r="E40" t="s">
        <v>72</v>
      </c>
      <c r="F40" t="s">
        <v>42</v>
      </c>
      <c r="G40" t="s">
        <v>43</v>
      </c>
      <c r="H40">
        <v>113.4</v>
      </c>
      <c r="I40">
        <v>0</v>
      </c>
      <c r="J40">
        <v>113.4</v>
      </c>
    </row>
    <row r="41" spans="1:10" x14ac:dyDescent="0.3">
      <c r="A41" s="1">
        <v>45841</v>
      </c>
      <c r="B41" t="s">
        <v>23</v>
      </c>
      <c r="C41" t="s">
        <v>26</v>
      </c>
      <c r="D41" t="s">
        <v>39</v>
      </c>
      <c r="E41" t="s">
        <v>25</v>
      </c>
      <c r="F41" t="s">
        <v>28</v>
      </c>
      <c r="G41" t="s">
        <v>29</v>
      </c>
      <c r="H41">
        <v>113.4</v>
      </c>
      <c r="I41">
        <v>0</v>
      </c>
      <c r="J41">
        <v>113.4</v>
      </c>
    </row>
    <row r="42" spans="1:10" x14ac:dyDescent="0.3">
      <c r="A42" s="1">
        <v>45841</v>
      </c>
      <c r="B42" t="s">
        <v>23</v>
      </c>
      <c r="C42" t="s">
        <v>71</v>
      </c>
      <c r="D42" t="s">
        <v>73</v>
      </c>
      <c r="E42" t="s">
        <v>25</v>
      </c>
      <c r="F42" t="s">
        <v>42</v>
      </c>
      <c r="G42" t="s">
        <v>43</v>
      </c>
      <c r="H42">
        <v>0</v>
      </c>
      <c r="I42">
        <v>113.4</v>
      </c>
      <c r="J42">
        <v>-113.4</v>
      </c>
    </row>
    <row r="43" spans="1:10" x14ac:dyDescent="0.3">
      <c r="A43" s="1">
        <v>45842</v>
      </c>
      <c r="B43" t="s">
        <v>23</v>
      </c>
      <c r="C43" t="s">
        <v>44</v>
      </c>
      <c r="D43" t="s">
        <v>74</v>
      </c>
      <c r="E43" t="s">
        <v>25</v>
      </c>
      <c r="F43" t="s">
        <v>18</v>
      </c>
      <c r="G43" t="s">
        <v>19</v>
      </c>
      <c r="H43">
        <v>96.25</v>
      </c>
      <c r="I43">
        <v>0</v>
      </c>
      <c r="J43">
        <v>96.25</v>
      </c>
    </row>
    <row r="44" spans="1:10" x14ac:dyDescent="0.3">
      <c r="A44" s="1">
        <v>45842</v>
      </c>
      <c r="B44" t="s">
        <v>23</v>
      </c>
      <c r="C44" t="s">
        <v>26</v>
      </c>
      <c r="D44" t="s">
        <v>27</v>
      </c>
      <c r="E44" t="s">
        <v>25</v>
      </c>
      <c r="F44" t="s">
        <v>28</v>
      </c>
      <c r="G44" t="s">
        <v>29</v>
      </c>
      <c r="H44">
        <v>0</v>
      </c>
      <c r="I44">
        <v>96.25</v>
      </c>
      <c r="J44">
        <v>-96.25</v>
      </c>
    </row>
    <row r="45" spans="1:10" x14ac:dyDescent="0.3">
      <c r="A45" s="1">
        <v>45848</v>
      </c>
      <c r="B45" t="s">
        <v>23</v>
      </c>
      <c r="C45" t="s">
        <v>16</v>
      </c>
      <c r="D45" t="s">
        <v>75</v>
      </c>
      <c r="E45" t="s">
        <v>25</v>
      </c>
      <c r="F45" t="s">
        <v>18</v>
      </c>
      <c r="G45" t="s">
        <v>19</v>
      </c>
      <c r="H45">
        <v>10.38</v>
      </c>
      <c r="I45">
        <v>0</v>
      </c>
      <c r="J45">
        <v>10.38</v>
      </c>
    </row>
    <row r="46" spans="1:10" x14ac:dyDescent="0.3">
      <c r="A46" s="1">
        <v>45848</v>
      </c>
      <c r="B46" t="s">
        <v>23</v>
      </c>
      <c r="C46" t="s">
        <v>26</v>
      </c>
      <c r="D46" t="s">
        <v>27</v>
      </c>
      <c r="E46" t="s">
        <v>25</v>
      </c>
      <c r="F46" t="s">
        <v>28</v>
      </c>
      <c r="G46" t="s">
        <v>29</v>
      </c>
      <c r="H46">
        <v>0</v>
      </c>
      <c r="I46">
        <v>10.38</v>
      </c>
      <c r="J46">
        <v>-10.38</v>
      </c>
    </row>
    <row r="47" spans="1:10" x14ac:dyDescent="0.3">
      <c r="A47" s="1">
        <v>45869</v>
      </c>
      <c r="B47" t="s">
        <v>10</v>
      </c>
      <c r="C47" t="s">
        <v>16</v>
      </c>
      <c r="D47" t="s">
        <v>17</v>
      </c>
      <c r="E47" t="s">
        <v>76</v>
      </c>
      <c r="F47" t="s">
        <v>18</v>
      </c>
      <c r="G47" t="s">
        <v>19</v>
      </c>
      <c r="H47">
        <v>0</v>
      </c>
      <c r="I47">
        <v>10.54</v>
      </c>
      <c r="J47">
        <v>-10.54</v>
      </c>
    </row>
    <row r="48" spans="1:10" x14ac:dyDescent="0.3">
      <c r="A48" s="1">
        <v>45880</v>
      </c>
      <c r="B48" t="s">
        <v>23</v>
      </c>
      <c r="C48" t="s">
        <v>16</v>
      </c>
      <c r="D48" t="s">
        <v>77</v>
      </c>
      <c r="E48" t="s">
        <v>25</v>
      </c>
      <c r="F48" t="s">
        <v>18</v>
      </c>
      <c r="G48" t="s">
        <v>19</v>
      </c>
      <c r="H48">
        <v>10.54</v>
      </c>
      <c r="I48">
        <v>0</v>
      </c>
      <c r="J48">
        <v>10.54</v>
      </c>
    </row>
    <row r="49" spans="1:10" x14ac:dyDescent="0.3">
      <c r="A49" s="1">
        <v>45880</v>
      </c>
      <c r="B49" t="s">
        <v>23</v>
      </c>
      <c r="C49" t="s">
        <v>26</v>
      </c>
      <c r="D49" t="s">
        <v>27</v>
      </c>
      <c r="E49" t="s">
        <v>25</v>
      </c>
      <c r="F49" t="s">
        <v>28</v>
      </c>
      <c r="G49" t="s">
        <v>29</v>
      </c>
      <c r="H49">
        <v>0</v>
      </c>
      <c r="I49">
        <v>10.54</v>
      </c>
      <c r="J49">
        <v>-10.54</v>
      </c>
    </row>
    <row r="50" spans="1:10" x14ac:dyDescent="0.3">
      <c r="A50" s="1">
        <v>45895</v>
      </c>
      <c r="B50" t="s">
        <v>23</v>
      </c>
      <c r="C50" t="s">
        <v>26</v>
      </c>
      <c r="D50" t="s">
        <v>39</v>
      </c>
      <c r="E50" t="s">
        <v>25</v>
      </c>
      <c r="F50" t="s">
        <v>28</v>
      </c>
      <c r="G50" t="s">
        <v>29</v>
      </c>
      <c r="H50">
        <v>340.2</v>
      </c>
      <c r="I50">
        <v>0</v>
      </c>
      <c r="J50">
        <v>340.2</v>
      </c>
    </row>
    <row r="51" spans="1:10" x14ac:dyDescent="0.3">
      <c r="A51" s="1">
        <v>45895</v>
      </c>
      <c r="B51" t="s">
        <v>23</v>
      </c>
      <c r="C51" t="s">
        <v>78</v>
      </c>
      <c r="D51" t="s">
        <v>79</v>
      </c>
      <c r="E51" t="s">
        <v>25</v>
      </c>
      <c r="F51" t="s">
        <v>42</v>
      </c>
      <c r="G51" t="s">
        <v>43</v>
      </c>
      <c r="H51">
        <v>0</v>
      </c>
      <c r="I51">
        <v>340.2</v>
      </c>
      <c r="J51">
        <v>-340.2</v>
      </c>
    </row>
    <row r="52" spans="1:10" x14ac:dyDescent="0.3">
      <c r="A52" s="1">
        <v>45896</v>
      </c>
      <c r="B52" t="s">
        <v>10</v>
      </c>
      <c r="C52" t="s">
        <v>44</v>
      </c>
      <c r="D52" t="s">
        <v>17</v>
      </c>
      <c r="E52" t="s">
        <v>80</v>
      </c>
      <c r="F52" t="s">
        <v>18</v>
      </c>
      <c r="G52" t="s">
        <v>19</v>
      </c>
      <c r="H52">
        <v>0</v>
      </c>
      <c r="I52">
        <v>270</v>
      </c>
      <c r="J52">
        <v>-270</v>
      </c>
    </row>
    <row r="53" spans="1:10" x14ac:dyDescent="0.3">
      <c r="A53" s="1">
        <v>45896</v>
      </c>
      <c r="B53" t="s">
        <v>50</v>
      </c>
      <c r="C53" t="s">
        <v>78</v>
      </c>
      <c r="D53" t="s">
        <v>51</v>
      </c>
      <c r="E53" t="s">
        <v>81</v>
      </c>
      <c r="F53" t="s">
        <v>42</v>
      </c>
      <c r="G53" t="s">
        <v>43</v>
      </c>
      <c r="H53">
        <v>340.2</v>
      </c>
      <c r="I53">
        <v>0</v>
      </c>
      <c r="J53">
        <v>340.2</v>
      </c>
    </row>
    <row r="54" spans="1:10" x14ac:dyDescent="0.3">
      <c r="A54" s="1">
        <v>45896</v>
      </c>
      <c r="B54" t="s">
        <v>23</v>
      </c>
      <c r="C54" t="s">
        <v>44</v>
      </c>
      <c r="D54" t="s">
        <v>82</v>
      </c>
      <c r="E54" t="s">
        <v>25</v>
      </c>
      <c r="F54" t="s">
        <v>18</v>
      </c>
      <c r="G54" t="s">
        <v>19</v>
      </c>
      <c r="H54">
        <v>270</v>
      </c>
      <c r="I54">
        <v>0</v>
      </c>
      <c r="J54">
        <v>270</v>
      </c>
    </row>
    <row r="55" spans="1:10" x14ac:dyDescent="0.3">
      <c r="A55" s="1">
        <v>45896</v>
      </c>
      <c r="B55" t="s">
        <v>23</v>
      </c>
      <c r="C55" t="s">
        <v>26</v>
      </c>
      <c r="D55" t="s">
        <v>27</v>
      </c>
      <c r="E55" t="s">
        <v>25</v>
      </c>
      <c r="F55" t="s">
        <v>28</v>
      </c>
      <c r="G55" t="s">
        <v>29</v>
      </c>
      <c r="H55">
        <v>0</v>
      </c>
      <c r="I55">
        <v>270</v>
      </c>
      <c r="J55">
        <v>-270</v>
      </c>
    </row>
    <row r="56" spans="1:10" x14ac:dyDescent="0.3">
      <c r="A56" s="1">
        <v>45900</v>
      </c>
      <c r="B56" t="s">
        <v>10</v>
      </c>
      <c r="C56" t="s">
        <v>16</v>
      </c>
      <c r="D56" t="s">
        <v>17</v>
      </c>
      <c r="E56" t="s">
        <v>83</v>
      </c>
      <c r="F56" t="s">
        <v>18</v>
      </c>
      <c r="G56" t="s">
        <v>19</v>
      </c>
      <c r="H56">
        <v>0</v>
      </c>
      <c r="I56">
        <v>10.38</v>
      </c>
      <c r="J56">
        <v>-10.38</v>
      </c>
    </row>
    <row r="57" spans="1:10" x14ac:dyDescent="0.3">
      <c r="A57" s="1">
        <v>45903</v>
      </c>
      <c r="B57" t="s">
        <v>23</v>
      </c>
      <c r="C57" t="s">
        <v>32</v>
      </c>
      <c r="D57" t="s">
        <v>84</v>
      </c>
      <c r="E57" t="s">
        <v>25</v>
      </c>
      <c r="F57" t="s">
        <v>18</v>
      </c>
      <c r="G57" t="s">
        <v>19</v>
      </c>
      <c r="H57">
        <v>269</v>
      </c>
      <c r="I57">
        <v>0</v>
      </c>
      <c r="J57">
        <v>269</v>
      </c>
    </row>
    <row r="58" spans="1:10" x14ac:dyDescent="0.3">
      <c r="A58" s="1">
        <v>45903</v>
      </c>
      <c r="B58" t="s">
        <v>23</v>
      </c>
      <c r="C58" t="s">
        <v>26</v>
      </c>
      <c r="D58" t="s">
        <v>27</v>
      </c>
      <c r="E58" t="s">
        <v>25</v>
      </c>
      <c r="F58" t="s">
        <v>28</v>
      </c>
      <c r="G58" t="s">
        <v>29</v>
      </c>
      <c r="H58">
        <v>0</v>
      </c>
      <c r="I58">
        <v>269</v>
      </c>
      <c r="J58">
        <v>-269</v>
      </c>
    </row>
    <row r="59" spans="1:10" x14ac:dyDescent="0.3">
      <c r="A59" s="1">
        <v>45904</v>
      </c>
      <c r="B59" t="s">
        <v>10</v>
      </c>
      <c r="C59" t="s">
        <v>32</v>
      </c>
      <c r="D59" t="s">
        <v>17</v>
      </c>
      <c r="E59" t="s">
        <v>85</v>
      </c>
      <c r="F59" t="s">
        <v>18</v>
      </c>
      <c r="G59" t="s">
        <v>19</v>
      </c>
      <c r="H59">
        <v>0</v>
      </c>
      <c r="I59">
        <v>269</v>
      </c>
      <c r="J59">
        <v>-269</v>
      </c>
    </row>
    <row r="60" spans="1:10" x14ac:dyDescent="0.3">
      <c r="A60" s="1">
        <v>45908</v>
      </c>
      <c r="B60" t="s">
        <v>10</v>
      </c>
      <c r="C60" t="s">
        <v>44</v>
      </c>
      <c r="D60" t="s">
        <v>17</v>
      </c>
      <c r="E60" t="s">
        <v>86</v>
      </c>
      <c r="F60" t="s">
        <v>18</v>
      </c>
      <c r="G60" t="s">
        <v>19</v>
      </c>
      <c r="H60">
        <v>0</v>
      </c>
      <c r="I60">
        <v>135</v>
      </c>
      <c r="J60">
        <v>-135</v>
      </c>
    </row>
    <row r="61" spans="1:10" x14ac:dyDescent="0.3">
      <c r="A61" s="1">
        <v>45908</v>
      </c>
      <c r="B61" t="s">
        <v>23</v>
      </c>
      <c r="C61" t="s">
        <v>26</v>
      </c>
      <c r="D61" t="s">
        <v>39</v>
      </c>
      <c r="E61" t="s">
        <v>25</v>
      </c>
      <c r="F61" t="s">
        <v>28</v>
      </c>
      <c r="G61" t="s">
        <v>29</v>
      </c>
      <c r="H61">
        <v>170.1</v>
      </c>
      <c r="I61">
        <v>0</v>
      </c>
      <c r="J61">
        <v>170.1</v>
      </c>
    </row>
    <row r="62" spans="1:10" x14ac:dyDescent="0.3">
      <c r="A62" s="1">
        <v>45908</v>
      </c>
      <c r="B62" t="s">
        <v>23</v>
      </c>
      <c r="C62" t="s">
        <v>78</v>
      </c>
      <c r="D62" t="s">
        <v>87</v>
      </c>
      <c r="E62" t="s">
        <v>25</v>
      </c>
      <c r="F62" t="s">
        <v>42</v>
      </c>
      <c r="G62" t="s">
        <v>43</v>
      </c>
      <c r="H62">
        <v>0</v>
      </c>
      <c r="I62">
        <v>170.1</v>
      </c>
      <c r="J62">
        <v>-170.1</v>
      </c>
    </row>
    <row r="63" spans="1:10" x14ac:dyDescent="0.3">
      <c r="A63" s="1">
        <v>45909</v>
      </c>
      <c r="B63" t="s">
        <v>50</v>
      </c>
      <c r="C63" t="s">
        <v>78</v>
      </c>
      <c r="D63" t="s">
        <v>51</v>
      </c>
      <c r="E63" t="s">
        <v>88</v>
      </c>
      <c r="F63" t="s">
        <v>42</v>
      </c>
      <c r="G63" t="s">
        <v>43</v>
      </c>
      <c r="H63">
        <v>170.1</v>
      </c>
      <c r="I63">
        <v>0</v>
      </c>
      <c r="J63">
        <v>170.1</v>
      </c>
    </row>
    <row r="64" spans="1:10" x14ac:dyDescent="0.3">
      <c r="A64" s="1">
        <v>45909</v>
      </c>
      <c r="B64" t="s">
        <v>23</v>
      </c>
      <c r="C64" t="s">
        <v>44</v>
      </c>
      <c r="D64" t="s">
        <v>89</v>
      </c>
      <c r="E64" t="s">
        <v>25</v>
      </c>
      <c r="F64" t="s">
        <v>18</v>
      </c>
      <c r="G64" t="s">
        <v>19</v>
      </c>
      <c r="H64">
        <v>135</v>
      </c>
      <c r="I64">
        <v>0</v>
      </c>
      <c r="J64">
        <v>135</v>
      </c>
    </row>
    <row r="65" spans="1:10" x14ac:dyDescent="0.3">
      <c r="A65" s="1">
        <v>45909</v>
      </c>
      <c r="B65" t="s">
        <v>23</v>
      </c>
      <c r="C65" t="s">
        <v>26</v>
      </c>
      <c r="D65" t="s">
        <v>27</v>
      </c>
      <c r="E65" t="s">
        <v>25</v>
      </c>
      <c r="F65" t="s">
        <v>28</v>
      </c>
      <c r="G65" t="s">
        <v>29</v>
      </c>
      <c r="H65">
        <v>0</v>
      </c>
      <c r="I65">
        <v>135</v>
      </c>
      <c r="J65">
        <v>-135</v>
      </c>
    </row>
    <row r="66" spans="1:10" x14ac:dyDescent="0.3">
      <c r="A66" s="1">
        <v>45910</v>
      </c>
      <c r="B66" t="s">
        <v>23</v>
      </c>
      <c r="C66" t="s">
        <v>16</v>
      </c>
      <c r="D66" t="s">
        <v>90</v>
      </c>
      <c r="E66" t="s">
        <v>25</v>
      </c>
      <c r="F66" t="s">
        <v>18</v>
      </c>
      <c r="G66" t="s">
        <v>19</v>
      </c>
      <c r="H66">
        <v>10.38</v>
      </c>
      <c r="I66">
        <v>0</v>
      </c>
      <c r="J66">
        <v>10.38</v>
      </c>
    </row>
    <row r="67" spans="1:10" x14ac:dyDescent="0.3">
      <c r="A67" s="1">
        <v>45910</v>
      </c>
      <c r="B67" t="s">
        <v>23</v>
      </c>
      <c r="C67" t="s">
        <v>26</v>
      </c>
      <c r="D67" t="s">
        <v>27</v>
      </c>
      <c r="E67" t="s">
        <v>25</v>
      </c>
      <c r="F67" t="s">
        <v>28</v>
      </c>
      <c r="G67" t="s">
        <v>29</v>
      </c>
      <c r="H67">
        <v>0</v>
      </c>
      <c r="I67">
        <v>10.38</v>
      </c>
      <c r="J67">
        <v>-10.38</v>
      </c>
    </row>
    <row r="68" spans="1:10" x14ac:dyDescent="0.3">
      <c r="A68" s="1">
        <v>45922</v>
      </c>
      <c r="B68" t="s">
        <v>23</v>
      </c>
      <c r="C68" t="s">
        <v>26</v>
      </c>
      <c r="D68" t="s">
        <v>39</v>
      </c>
      <c r="E68" t="s">
        <v>25</v>
      </c>
      <c r="F68" t="s">
        <v>28</v>
      </c>
      <c r="G68" t="s">
        <v>29</v>
      </c>
      <c r="H68">
        <v>8360.86</v>
      </c>
      <c r="I68">
        <v>0</v>
      </c>
      <c r="J68">
        <v>8360.86</v>
      </c>
    </row>
    <row r="69" spans="1:10" x14ac:dyDescent="0.3">
      <c r="A69" s="1">
        <v>45922</v>
      </c>
      <c r="B69" t="s">
        <v>23</v>
      </c>
      <c r="C69" t="s">
        <v>91</v>
      </c>
      <c r="D69" t="s">
        <v>92</v>
      </c>
      <c r="E69" t="s">
        <v>25</v>
      </c>
      <c r="F69" t="s">
        <v>42</v>
      </c>
      <c r="G69" t="s">
        <v>43</v>
      </c>
      <c r="H69">
        <v>0</v>
      </c>
      <c r="I69">
        <v>8360.86</v>
      </c>
      <c r="J69">
        <v>-8360.86</v>
      </c>
    </row>
    <row r="70" spans="1:10" x14ac:dyDescent="0.3">
      <c r="A70" s="1">
        <v>45922</v>
      </c>
      <c r="B70" t="s">
        <v>23</v>
      </c>
      <c r="C70" t="s">
        <v>93</v>
      </c>
      <c r="D70" t="s">
        <v>94</v>
      </c>
      <c r="E70" t="s">
        <v>25</v>
      </c>
      <c r="F70" t="s">
        <v>18</v>
      </c>
      <c r="G70" t="s">
        <v>19</v>
      </c>
      <c r="H70">
        <v>182.5</v>
      </c>
      <c r="I70">
        <v>0</v>
      </c>
      <c r="J70">
        <v>182.5</v>
      </c>
    </row>
    <row r="71" spans="1:10" x14ac:dyDescent="0.3">
      <c r="A71" s="1">
        <v>45922</v>
      </c>
      <c r="B71" t="s">
        <v>23</v>
      </c>
      <c r="C71" t="s">
        <v>26</v>
      </c>
      <c r="D71" t="s">
        <v>27</v>
      </c>
      <c r="E71" t="s">
        <v>25</v>
      </c>
      <c r="F71" t="s">
        <v>28</v>
      </c>
      <c r="G71" t="s">
        <v>29</v>
      </c>
      <c r="H71">
        <v>0</v>
      </c>
      <c r="I71">
        <v>182.5</v>
      </c>
      <c r="J71">
        <v>-182.5</v>
      </c>
    </row>
    <row r="72" spans="1:10" x14ac:dyDescent="0.3">
      <c r="A72" s="1">
        <v>45922</v>
      </c>
      <c r="B72" t="s">
        <v>23</v>
      </c>
      <c r="C72" t="s">
        <v>93</v>
      </c>
      <c r="D72" t="s">
        <v>95</v>
      </c>
      <c r="E72" t="s">
        <v>25</v>
      </c>
      <c r="F72" t="s">
        <v>18</v>
      </c>
      <c r="G72" t="s">
        <v>19</v>
      </c>
      <c r="H72">
        <v>602.35</v>
      </c>
      <c r="I72">
        <v>0</v>
      </c>
      <c r="J72">
        <v>602.35</v>
      </c>
    </row>
    <row r="73" spans="1:10" x14ac:dyDescent="0.3">
      <c r="A73" s="1">
        <v>45922</v>
      </c>
      <c r="B73" t="s">
        <v>23</v>
      </c>
      <c r="C73" t="s">
        <v>26</v>
      </c>
      <c r="D73" t="s">
        <v>27</v>
      </c>
      <c r="E73" t="s">
        <v>25</v>
      </c>
      <c r="F73" t="s">
        <v>28</v>
      </c>
      <c r="G73" t="s">
        <v>29</v>
      </c>
      <c r="H73">
        <v>0</v>
      </c>
      <c r="I73">
        <v>602.35</v>
      </c>
      <c r="J73">
        <v>-602.35</v>
      </c>
    </row>
    <row r="74" spans="1:10" x14ac:dyDescent="0.3">
      <c r="A74" s="1">
        <v>45922</v>
      </c>
      <c r="B74" t="s">
        <v>23</v>
      </c>
      <c r="C74" t="s">
        <v>93</v>
      </c>
      <c r="D74" t="s">
        <v>96</v>
      </c>
      <c r="E74" t="s">
        <v>25</v>
      </c>
      <c r="F74" t="s">
        <v>18</v>
      </c>
      <c r="G74" t="s">
        <v>19</v>
      </c>
      <c r="H74">
        <v>5972.09</v>
      </c>
      <c r="I74">
        <v>0</v>
      </c>
      <c r="J74">
        <v>5972.09</v>
      </c>
    </row>
    <row r="75" spans="1:10" x14ac:dyDescent="0.3">
      <c r="A75" s="1">
        <v>45922</v>
      </c>
      <c r="B75" t="s">
        <v>23</v>
      </c>
      <c r="C75" t="s">
        <v>26</v>
      </c>
      <c r="D75" t="s">
        <v>27</v>
      </c>
      <c r="E75" t="s">
        <v>25</v>
      </c>
      <c r="F75" t="s">
        <v>28</v>
      </c>
      <c r="G75" t="s">
        <v>29</v>
      </c>
      <c r="H75">
        <v>0</v>
      </c>
      <c r="I75">
        <v>5972.09</v>
      </c>
      <c r="J75">
        <v>-5972.09</v>
      </c>
    </row>
    <row r="76" spans="1:10" x14ac:dyDescent="0.3">
      <c r="A76" s="1">
        <v>45925</v>
      </c>
      <c r="B76" t="s">
        <v>23</v>
      </c>
      <c r="C76" t="s">
        <v>26</v>
      </c>
      <c r="D76" t="s">
        <v>39</v>
      </c>
      <c r="E76" t="s">
        <v>25</v>
      </c>
      <c r="F76" t="s">
        <v>28</v>
      </c>
      <c r="G76" t="s">
        <v>29</v>
      </c>
      <c r="H76">
        <v>641.25</v>
      </c>
      <c r="I76">
        <v>0</v>
      </c>
      <c r="J76">
        <v>641.25</v>
      </c>
    </row>
    <row r="77" spans="1:10" x14ac:dyDescent="0.3">
      <c r="A77" s="1">
        <v>45925</v>
      </c>
      <c r="B77" t="s">
        <v>23</v>
      </c>
      <c r="C77" t="s">
        <v>97</v>
      </c>
      <c r="D77" t="s">
        <v>98</v>
      </c>
      <c r="E77" t="s">
        <v>25</v>
      </c>
      <c r="F77" t="s">
        <v>42</v>
      </c>
      <c r="G77" t="s">
        <v>43</v>
      </c>
      <c r="H77">
        <v>0</v>
      </c>
      <c r="I77">
        <v>641.25</v>
      </c>
      <c r="J77">
        <v>-641.25</v>
      </c>
    </row>
    <row r="78" spans="1:10" x14ac:dyDescent="0.3">
      <c r="A78" s="1">
        <v>45926</v>
      </c>
      <c r="B78" t="s">
        <v>10</v>
      </c>
      <c r="C78" t="s">
        <v>44</v>
      </c>
      <c r="D78" t="s">
        <v>17</v>
      </c>
      <c r="E78" t="s">
        <v>99</v>
      </c>
      <c r="F78" t="s">
        <v>18</v>
      </c>
      <c r="G78" t="s">
        <v>19</v>
      </c>
      <c r="H78">
        <v>0</v>
      </c>
      <c r="I78">
        <v>527.35</v>
      </c>
      <c r="J78">
        <v>-527.35</v>
      </c>
    </row>
    <row r="79" spans="1:10" x14ac:dyDescent="0.3">
      <c r="A79" s="1">
        <v>45926</v>
      </c>
      <c r="B79" t="s">
        <v>50</v>
      </c>
      <c r="C79" t="s">
        <v>97</v>
      </c>
      <c r="D79" t="s">
        <v>51</v>
      </c>
      <c r="E79" t="s">
        <v>100</v>
      </c>
      <c r="F79" t="s">
        <v>42</v>
      </c>
      <c r="G79" t="s">
        <v>43</v>
      </c>
      <c r="H79">
        <v>641.25</v>
      </c>
      <c r="I79">
        <v>0</v>
      </c>
      <c r="J79">
        <v>641.25</v>
      </c>
    </row>
    <row r="80" spans="1:10" x14ac:dyDescent="0.3">
      <c r="A80" s="1">
        <v>45930</v>
      </c>
      <c r="B80" t="s">
        <v>10</v>
      </c>
      <c r="C80" t="s">
        <v>16</v>
      </c>
      <c r="D80" t="s">
        <v>17</v>
      </c>
      <c r="E80" t="s">
        <v>101</v>
      </c>
      <c r="F80" t="s">
        <v>18</v>
      </c>
      <c r="G80" t="s">
        <v>19</v>
      </c>
      <c r="H80">
        <v>0</v>
      </c>
      <c r="I80">
        <v>11.78</v>
      </c>
      <c r="J80">
        <v>-11.78</v>
      </c>
    </row>
    <row r="81" spans="1:10" x14ac:dyDescent="0.3">
      <c r="A81" s="1">
        <v>45930</v>
      </c>
      <c r="B81" t="s">
        <v>23</v>
      </c>
      <c r="C81" t="s">
        <v>44</v>
      </c>
      <c r="D81" t="s">
        <v>102</v>
      </c>
      <c r="E81" t="s">
        <v>25</v>
      </c>
      <c r="F81" t="s">
        <v>18</v>
      </c>
      <c r="G81" t="s">
        <v>19</v>
      </c>
      <c r="H81">
        <v>527.35</v>
      </c>
      <c r="I81">
        <v>0</v>
      </c>
      <c r="J81">
        <v>527.35</v>
      </c>
    </row>
    <row r="82" spans="1:10" x14ac:dyDescent="0.3">
      <c r="A82" s="1">
        <v>45930</v>
      </c>
      <c r="B82" t="s">
        <v>23</v>
      </c>
      <c r="C82" t="s">
        <v>26</v>
      </c>
      <c r="D82" t="s">
        <v>27</v>
      </c>
      <c r="E82" t="s">
        <v>25</v>
      </c>
      <c r="F82" t="s">
        <v>28</v>
      </c>
      <c r="G82" t="s">
        <v>29</v>
      </c>
      <c r="H82">
        <v>0</v>
      </c>
      <c r="I82">
        <v>527.35</v>
      </c>
      <c r="J82">
        <v>-527.35</v>
      </c>
    </row>
    <row r="83" spans="1:10" x14ac:dyDescent="0.3">
      <c r="A83" s="1">
        <v>45940</v>
      </c>
      <c r="B83" t="s">
        <v>23</v>
      </c>
      <c r="C83" t="s">
        <v>16</v>
      </c>
      <c r="D83" t="s">
        <v>103</v>
      </c>
      <c r="E83" t="s">
        <v>25</v>
      </c>
      <c r="F83" t="s">
        <v>18</v>
      </c>
      <c r="G83" t="s">
        <v>19</v>
      </c>
      <c r="H83">
        <v>11.78</v>
      </c>
      <c r="I83">
        <v>0</v>
      </c>
      <c r="J83">
        <v>11.78</v>
      </c>
    </row>
    <row r="84" spans="1:10" x14ac:dyDescent="0.3">
      <c r="A84" s="1">
        <v>45940</v>
      </c>
      <c r="B84" t="s">
        <v>23</v>
      </c>
      <c r="C84" t="s">
        <v>26</v>
      </c>
      <c r="D84" t="s">
        <v>27</v>
      </c>
      <c r="E84" t="s">
        <v>25</v>
      </c>
      <c r="F84" t="s">
        <v>28</v>
      </c>
      <c r="G84" t="s">
        <v>29</v>
      </c>
      <c r="H84">
        <v>0</v>
      </c>
      <c r="I84">
        <v>11.78</v>
      </c>
      <c r="J84">
        <v>-11.78</v>
      </c>
    </row>
    <row r="85" spans="1:10" x14ac:dyDescent="0.3">
      <c r="A85" s="1">
        <v>45946</v>
      </c>
      <c r="B85" t="s">
        <v>10</v>
      </c>
      <c r="C85" t="s">
        <v>44</v>
      </c>
      <c r="D85" t="s">
        <v>17</v>
      </c>
      <c r="E85" t="s">
        <v>104</v>
      </c>
      <c r="F85" t="s">
        <v>18</v>
      </c>
      <c r="G85" t="s">
        <v>19</v>
      </c>
      <c r="H85">
        <v>0</v>
      </c>
      <c r="I85">
        <v>141.25</v>
      </c>
      <c r="J85">
        <v>-141.25</v>
      </c>
    </row>
    <row r="86" spans="1:10" x14ac:dyDescent="0.3">
      <c r="A86" s="1">
        <v>45946</v>
      </c>
      <c r="B86" t="s">
        <v>10</v>
      </c>
      <c r="C86" t="s">
        <v>93</v>
      </c>
      <c r="D86" t="s">
        <v>17</v>
      </c>
      <c r="E86" t="s">
        <v>105</v>
      </c>
      <c r="F86" t="s">
        <v>18</v>
      </c>
      <c r="G86" t="s">
        <v>19</v>
      </c>
      <c r="H86">
        <v>0</v>
      </c>
      <c r="I86">
        <v>182.5</v>
      </c>
      <c r="J86">
        <v>-182.5</v>
      </c>
    </row>
    <row r="87" spans="1:10" x14ac:dyDescent="0.3">
      <c r="A87" s="1">
        <v>45946</v>
      </c>
      <c r="B87" t="s">
        <v>10</v>
      </c>
      <c r="C87" t="s">
        <v>93</v>
      </c>
      <c r="D87" t="s">
        <v>17</v>
      </c>
      <c r="E87" t="s">
        <v>106</v>
      </c>
      <c r="F87" t="s">
        <v>18</v>
      </c>
      <c r="G87" t="s">
        <v>19</v>
      </c>
      <c r="H87">
        <v>0</v>
      </c>
      <c r="I87">
        <v>602.35</v>
      </c>
      <c r="J87">
        <v>-602.35</v>
      </c>
    </row>
    <row r="88" spans="1:10" x14ac:dyDescent="0.3">
      <c r="A88" s="1">
        <v>45946</v>
      </c>
      <c r="B88" t="s">
        <v>10</v>
      </c>
      <c r="C88" t="s">
        <v>93</v>
      </c>
      <c r="D88" t="s">
        <v>17</v>
      </c>
      <c r="E88" t="s">
        <v>107</v>
      </c>
      <c r="F88" t="s">
        <v>18</v>
      </c>
      <c r="G88" t="s">
        <v>19</v>
      </c>
      <c r="H88">
        <v>0</v>
      </c>
      <c r="I88">
        <v>5972.09</v>
      </c>
      <c r="J88">
        <v>-5972.09</v>
      </c>
    </row>
    <row r="89" spans="1:10" x14ac:dyDescent="0.3">
      <c r="A89" s="1">
        <v>45946</v>
      </c>
      <c r="B89" t="s">
        <v>23</v>
      </c>
      <c r="C89" t="s">
        <v>26</v>
      </c>
      <c r="D89" t="s">
        <v>39</v>
      </c>
      <c r="E89" t="s">
        <v>25</v>
      </c>
      <c r="F89" t="s">
        <v>28</v>
      </c>
      <c r="G89" t="s">
        <v>29</v>
      </c>
      <c r="H89">
        <v>173</v>
      </c>
      <c r="I89">
        <v>0</v>
      </c>
      <c r="J89">
        <v>173</v>
      </c>
    </row>
    <row r="90" spans="1:10" x14ac:dyDescent="0.3">
      <c r="A90" s="1">
        <v>45946</v>
      </c>
      <c r="B90" t="s">
        <v>23</v>
      </c>
      <c r="C90" t="s">
        <v>108</v>
      </c>
      <c r="D90" t="s">
        <v>109</v>
      </c>
      <c r="E90" t="s">
        <v>25</v>
      </c>
      <c r="F90" t="s">
        <v>42</v>
      </c>
      <c r="G90" t="s">
        <v>43</v>
      </c>
      <c r="H90">
        <v>0</v>
      </c>
      <c r="I90">
        <v>173</v>
      </c>
      <c r="J90">
        <v>-173</v>
      </c>
    </row>
    <row r="91" spans="1:10" x14ac:dyDescent="0.3">
      <c r="A91" s="1">
        <v>45947</v>
      </c>
      <c r="B91" t="s">
        <v>50</v>
      </c>
      <c r="C91" t="s">
        <v>108</v>
      </c>
      <c r="D91" t="s">
        <v>51</v>
      </c>
      <c r="E91" t="s">
        <v>110</v>
      </c>
      <c r="F91" t="s">
        <v>42</v>
      </c>
      <c r="G91" t="s">
        <v>43</v>
      </c>
      <c r="H91">
        <v>173</v>
      </c>
      <c r="I91">
        <v>0</v>
      </c>
      <c r="J91">
        <v>173</v>
      </c>
    </row>
    <row r="92" spans="1:10" x14ac:dyDescent="0.3">
      <c r="A92" s="1">
        <v>45947</v>
      </c>
      <c r="B92" t="s">
        <v>23</v>
      </c>
      <c r="C92" t="s">
        <v>44</v>
      </c>
      <c r="D92" t="s">
        <v>111</v>
      </c>
      <c r="E92" t="s">
        <v>25</v>
      </c>
      <c r="F92" t="s">
        <v>18</v>
      </c>
      <c r="G92" t="s">
        <v>19</v>
      </c>
      <c r="H92">
        <v>141.25</v>
      </c>
      <c r="I92">
        <v>0</v>
      </c>
      <c r="J92">
        <v>141.25</v>
      </c>
    </row>
    <row r="93" spans="1:10" x14ac:dyDescent="0.3">
      <c r="A93" s="1">
        <v>45947</v>
      </c>
      <c r="B93" t="s">
        <v>23</v>
      </c>
      <c r="C93" t="s">
        <v>26</v>
      </c>
      <c r="D93" t="s">
        <v>27</v>
      </c>
      <c r="E93" t="s">
        <v>25</v>
      </c>
      <c r="F93" t="s">
        <v>28</v>
      </c>
      <c r="G93" t="s">
        <v>29</v>
      </c>
      <c r="H93">
        <v>0</v>
      </c>
      <c r="I93">
        <v>141.25</v>
      </c>
      <c r="J93">
        <v>-141.25</v>
      </c>
    </row>
    <row r="94" spans="1:10" x14ac:dyDescent="0.3">
      <c r="A94" s="1">
        <v>45948</v>
      </c>
      <c r="B94" t="s">
        <v>50</v>
      </c>
      <c r="C94" t="s">
        <v>91</v>
      </c>
      <c r="D94" t="s">
        <v>51</v>
      </c>
      <c r="E94" t="s">
        <v>112</v>
      </c>
      <c r="F94" t="s">
        <v>42</v>
      </c>
      <c r="G94" t="s">
        <v>43</v>
      </c>
      <c r="H94">
        <v>8360.86</v>
      </c>
      <c r="I94">
        <v>0</v>
      </c>
      <c r="J94">
        <v>8360.86</v>
      </c>
    </row>
    <row r="95" spans="1:10" x14ac:dyDescent="0.3">
      <c r="A95" s="1">
        <v>45956</v>
      </c>
      <c r="B95" t="s">
        <v>23</v>
      </c>
      <c r="C95" t="s">
        <v>93</v>
      </c>
      <c r="D95" t="s">
        <v>113</v>
      </c>
      <c r="E95" t="s">
        <v>25</v>
      </c>
      <c r="F95" t="s">
        <v>18</v>
      </c>
      <c r="G95" t="s">
        <v>19</v>
      </c>
      <c r="H95">
        <v>62.5</v>
      </c>
      <c r="I95">
        <v>0</v>
      </c>
      <c r="J95">
        <v>62.5</v>
      </c>
    </row>
    <row r="96" spans="1:10" x14ac:dyDescent="0.3">
      <c r="A96" s="1">
        <v>45956</v>
      </c>
      <c r="B96" t="s">
        <v>23</v>
      </c>
      <c r="C96" t="s">
        <v>26</v>
      </c>
      <c r="D96" t="s">
        <v>27</v>
      </c>
      <c r="E96" t="s">
        <v>25</v>
      </c>
      <c r="F96" t="s">
        <v>28</v>
      </c>
      <c r="G96" t="s">
        <v>29</v>
      </c>
      <c r="H96">
        <v>0</v>
      </c>
      <c r="I96">
        <v>62.5</v>
      </c>
      <c r="J96">
        <v>-62.5</v>
      </c>
    </row>
    <row r="97" spans="1:10" x14ac:dyDescent="0.3">
      <c r="A97" s="1">
        <v>45957</v>
      </c>
      <c r="B97" t="s">
        <v>10</v>
      </c>
      <c r="C97" t="s">
        <v>116</v>
      </c>
      <c r="D97" t="s">
        <v>17</v>
      </c>
      <c r="E97" t="s">
        <v>115</v>
      </c>
      <c r="F97" t="s">
        <v>18</v>
      </c>
      <c r="G97" t="s">
        <v>19</v>
      </c>
      <c r="H97">
        <v>0</v>
      </c>
      <c r="I97">
        <v>7</v>
      </c>
      <c r="J97">
        <v>-7</v>
      </c>
    </row>
    <row r="98" spans="1:10" x14ac:dyDescent="0.3">
      <c r="A98" s="1">
        <v>45957</v>
      </c>
      <c r="B98" t="s">
        <v>10</v>
      </c>
      <c r="C98" t="s">
        <v>93</v>
      </c>
      <c r="D98" t="s">
        <v>17</v>
      </c>
      <c r="E98" t="s">
        <v>117</v>
      </c>
      <c r="F98" t="s">
        <v>18</v>
      </c>
      <c r="G98" t="s">
        <v>19</v>
      </c>
      <c r="H98">
        <v>0</v>
      </c>
      <c r="I98">
        <v>62.5</v>
      </c>
      <c r="J98">
        <v>-62.5</v>
      </c>
    </row>
    <row r="99" spans="1:10" x14ac:dyDescent="0.3">
      <c r="A99" s="1">
        <v>45957</v>
      </c>
      <c r="B99" t="s">
        <v>23</v>
      </c>
      <c r="C99" t="s">
        <v>26</v>
      </c>
      <c r="D99" t="s">
        <v>39</v>
      </c>
      <c r="E99" t="s">
        <v>25</v>
      </c>
      <c r="F99" t="s">
        <v>28</v>
      </c>
      <c r="G99" t="s">
        <v>29</v>
      </c>
      <c r="H99">
        <v>75</v>
      </c>
      <c r="I99">
        <v>0</v>
      </c>
      <c r="J99">
        <v>75</v>
      </c>
    </row>
    <row r="100" spans="1:10" x14ac:dyDescent="0.3">
      <c r="A100" s="1">
        <v>45957</v>
      </c>
      <c r="B100" t="s">
        <v>23</v>
      </c>
      <c r="C100" t="s">
        <v>91</v>
      </c>
      <c r="D100" t="s">
        <v>118</v>
      </c>
      <c r="E100" t="s">
        <v>25</v>
      </c>
      <c r="F100" t="s">
        <v>42</v>
      </c>
      <c r="G100" t="s">
        <v>43</v>
      </c>
      <c r="H100">
        <v>0</v>
      </c>
      <c r="I100">
        <v>75</v>
      </c>
      <c r="J100">
        <v>-75</v>
      </c>
    </row>
    <row r="101" spans="1:10" x14ac:dyDescent="0.3">
      <c r="A101" s="1">
        <v>45958</v>
      </c>
      <c r="B101" t="s">
        <v>23</v>
      </c>
      <c r="C101" t="s">
        <v>116</v>
      </c>
      <c r="D101" t="s">
        <v>119</v>
      </c>
      <c r="E101" t="s">
        <v>25</v>
      </c>
      <c r="F101" t="s">
        <v>18</v>
      </c>
      <c r="G101" t="s">
        <v>19</v>
      </c>
      <c r="H101">
        <v>7</v>
      </c>
      <c r="I101">
        <v>0</v>
      </c>
      <c r="J101">
        <v>7</v>
      </c>
    </row>
    <row r="102" spans="1:10" x14ac:dyDescent="0.3">
      <c r="A102" s="1">
        <v>45958</v>
      </c>
      <c r="B102" t="s">
        <v>23</v>
      </c>
      <c r="C102" t="s">
        <v>26</v>
      </c>
      <c r="D102" t="s">
        <v>27</v>
      </c>
      <c r="E102" t="s">
        <v>25</v>
      </c>
      <c r="F102" t="s">
        <v>28</v>
      </c>
      <c r="G102" t="s">
        <v>29</v>
      </c>
      <c r="H102">
        <v>0</v>
      </c>
      <c r="I102">
        <v>7</v>
      </c>
      <c r="J102">
        <v>-7</v>
      </c>
    </row>
    <row r="103" spans="1:10" x14ac:dyDescent="0.3">
      <c r="A103" s="1">
        <v>45959</v>
      </c>
      <c r="B103" t="s">
        <v>50</v>
      </c>
      <c r="C103" t="s">
        <v>91</v>
      </c>
      <c r="D103" t="s">
        <v>51</v>
      </c>
      <c r="E103" t="s">
        <v>120</v>
      </c>
      <c r="F103" t="s">
        <v>42</v>
      </c>
      <c r="G103" t="s">
        <v>43</v>
      </c>
      <c r="H103">
        <v>75</v>
      </c>
      <c r="I103">
        <v>0</v>
      </c>
      <c r="J103">
        <v>75</v>
      </c>
    </row>
    <row r="104" spans="1:10" x14ac:dyDescent="0.3">
      <c r="A104" s="1">
        <v>45961</v>
      </c>
      <c r="B104" t="s">
        <v>10</v>
      </c>
      <c r="C104" t="s">
        <v>16</v>
      </c>
      <c r="D104" t="s">
        <v>17</v>
      </c>
      <c r="E104" t="s">
        <v>121</v>
      </c>
      <c r="F104" t="s">
        <v>18</v>
      </c>
      <c r="G104" t="s">
        <v>19</v>
      </c>
      <c r="H104">
        <v>0</v>
      </c>
      <c r="I104">
        <v>10.97</v>
      </c>
      <c r="J104">
        <v>-10.97</v>
      </c>
    </row>
    <row r="105" spans="1:10" x14ac:dyDescent="0.3">
      <c r="A105" s="1">
        <v>45971</v>
      </c>
      <c r="B105" t="s">
        <v>23</v>
      </c>
      <c r="C105" t="s">
        <v>16</v>
      </c>
      <c r="D105" t="s">
        <v>122</v>
      </c>
      <c r="E105" t="s">
        <v>25</v>
      </c>
      <c r="F105" t="s">
        <v>18</v>
      </c>
      <c r="G105" t="s">
        <v>19</v>
      </c>
      <c r="H105">
        <v>10.97</v>
      </c>
      <c r="I105">
        <v>0</v>
      </c>
      <c r="J105">
        <v>10.97</v>
      </c>
    </row>
    <row r="106" spans="1:10" x14ac:dyDescent="0.3">
      <c r="A106" s="1">
        <v>45971</v>
      </c>
      <c r="B106" t="s">
        <v>23</v>
      </c>
      <c r="C106" t="s">
        <v>26</v>
      </c>
      <c r="D106" t="s">
        <v>27</v>
      </c>
      <c r="E106" t="s">
        <v>25</v>
      </c>
      <c r="F106" t="s">
        <v>28</v>
      </c>
      <c r="G106" t="s">
        <v>29</v>
      </c>
      <c r="H106">
        <v>0</v>
      </c>
      <c r="I106">
        <v>10.97</v>
      </c>
      <c r="J106">
        <v>-10.97</v>
      </c>
    </row>
    <row r="107" spans="1:10" x14ac:dyDescent="0.3">
      <c r="A107" s="1">
        <v>45985</v>
      </c>
      <c r="B107" t="s">
        <v>10</v>
      </c>
      <c r="C107" t="s">
        <v>44</v>
      </c>
      <c r="D107" t="s">
        <v>17</v>
      </c>
      <c r="E107" t="s">
        <v>123</v>
      </c>
      <c r="F107" t="s">
        <v>18</v>
      </c>
      <c r="G107" t="s">
        <v>19</v>
      </c>
      <c r="H107">
        <v>0</v>
      </c>
      <c r="I107">
        <v>342</v>
      </c>
      <c r="J107">
        <v>-342</v>
      </c>
    </row>
    <row r="108" spans="1:10" x14ac:dyDescent="0.3">
      <c r="A108" s="1">
        <v>45985</v>
      </c>
      <c r="B108" t="s">
        <v>23</v>
      </c>
      <c r="C108" t="s">
        <v>26</v>
      </c>
      <c r="D108" t="s">
        <v>39</v>
      </c>
      <c r="E108" t="s">
        <v>25</v>
      </c>
      <c r="F108" t="s">
        <v>28</v>
      </c>
      <c r="G108" t="s">
        <v>29</v>
      </c>
      <c r="H108">
        <v>432</v>
      </c>
      <c r="I108">
        <v>0</v>
      </c>
      <c r="J108">
        <v>432</v>
      </c>
    </row>
    <row r="109" spans="1:10" x14ac:dyDescent="0.3">
      <c r="A109" s="1">
        <v>45985</v>
      </c>
      <c r="B109" t="s">
        <v>23</v>
      </c>
      <c r="C109" t="s">
        <v>124</v>
      </c>
      <c r="D109" t="s">
        <v>125</v>
      </c>
      <c r="E109" t="s">
        <v>25</v>
      </c>
      <c r="F109" t="s">
        <v>42</v>
      </c>
      <c r="G109" t="s">
        <v>43</v>
      </c>
      <c r="H109">
        <v>0</v>
      </c>
      <c r="I109">
        <v>432</v>
      </c>
      <c r="J109">
        <v>-432</v>
      </c>
    </row>
    <row r="110" spans="1:10" x14ac:dyDescent="0.3">
      <c r="A110" s="1">
        <v>45986</v>
      </c>
      <c r="B110" t="s">
        <v>50</v>
      </c>
      <c r="C110" t="s">
        <v>124</v>
      </c>
      <c r="D110" t="s">
        <v>51</v>
      </c>
      <c r="E110" t="s">
        <v>126</v>
      </c>
      <c r="F110" t="s">
        <v>42</v>
      </c>
      <c r="G110" t="s">
        <v>43</v>
      </c>
      <c r="H110">
        <v>432</v>
      </c>
      <c r="I110">
        <v>0</v>
      </c>
      <c r="J110">
        <v>432</v>
      </c>
    </row>
    <row r="111" spans="1:10" x14ac:dyDescent="0.3">
      <c r="A111" s="1">
        <v>45986</v>
      </c>
      <c r="B111" t="s">
        <v>23</v>
      </c>
      <c r="C111" t="s">
        <v>44</v>
      </c>
      <c r="D111" t="s">
        <v>127</v>
      </c>
      <c r="E111" t="s">
        <v>25</v>
      </c>
      <c r="F111" t="s">
        <v>18</v>
      </c>
      <c r="G111" t="s">
        <v>19</v>
      </c>
      <c r="H111">
        <v>342</v>
      </c>
      <c r="I111">
        <v>0</v>
      </c>
      <c r="J111">
        <v>342</v>
      </c>
    </row>
    <row r="112" spans="1:10" x14ac:dyDescent="0.3">
      <c r="A112" s="1">
        <v>45986</v>
      </c>
      <c r="B112" t="s">
        <v>23</v>
      </c>
      <c r="C112" t="s">
        <v>26</v>
      </c>
      <c r="D112" t="s">
        <v>27</v>
      </c>
      <c r="E112" t="s">
        <v>25</v>
      </c>
      <c r="F112" t="s">
        <v>28</v>
      </c>
      <c r="G112" t="s">
        <v>29</v>
      </c>
      <c r="H112">
        <v>0</v>
      </c>
      <c r="I112">
        <v>342</v>
      </c>
      <c r="J112">
        <v>-342</v>
      </c>
    </row>
    <row r="113" spans="1:10" x14ac:dyDescent="0.3">
      <c r="A113" s="1">
        <v>45987</v>
      </c>
      <c r="B113" t="s">
        <v>10</v>
      </c>
      <c r="C113" t="s">
        <v>130</v>
      </c>
      <c r="D113" t="s">
        <v>17</v>
      </c>
      <c r="E113" t="s">
        <v>129</v>
      </c>
      <c r="F113" t="s">
        <v>18</v>
      </c>
      <c r="G113" t="s">
        <v>19</v>
      </c>
      <c r="H113">
        <v>0</v>
      </c>
      <c r="I113">
        <v>141.59</v>
      </c>
      <c r="J113">
        <v>-141.59</v>
      </c>
    </row>
    <row r="114" spans="1:10" x14ac:dyDescent="0.3">
      <c r="A114" s="1">
        <v>45987</v>
      </c>
      <c r="B114" t="s">
        <v>23</v>
      </c>
      <c r="C114" t="s">
        <v>130</v>
      </c>
      <c r="D114" t="s">
        <v>131</v>
      </c>
      <c r="E114" t="s">
        <v>25</v>
      </c>
      <c r="F114" t="s">
        <v>18</v>
      </c>
      <c r="G114" t="s">
        <v>19</v>
      </c>
      <c r="H114">
        <v>141.59</v>
      </c>
      <c r="I114">
        <v>0</v>
      </c>
      <c r="J114">
        <v>141.59</v>
      </c>
    </row>
    <row r="115" spans="1:10" x14ac:dyDescent="0.3">
      <c r="A115" s="1">
        <v>45987</v>
      </c>
      <c r="B115" t="s">
        <v>23</v>
      </c>
      <c r="C115" t="s">
        <v>26</v>
      </c>
      <c r="D115" t="s">
        <v>27</v>
      </c>
      <c r="E115" t="s">
        <v>25</v>
      </c>
      <c r="F115" t="s">
        <v>28</v>
      </c>
      <c r="G115" t="s">
        <v>29</v>
      </c>
      <c r="H115">
        <v>0</v>
      </c>
      <c r="I115">
        <v>141.59</v>
      </c>
      <c r="J115">
        <v>-141.59</v>
      </c>
    </row>
    <row r="116" spans="1:10" x14ac:dyDescent="0.3">
      <c r="A116" s="1">
        <v>45988</v>
      </c>
      <c r="B116" t="s">
        <v>10</v>
      </c>
      <c r="C116" t="s">
        <v>135</v>
      </c>
      <c r="D116" t="s">
        <v>17</v>
      </c>
      <c r="F116" t="s">
        <v>18</v>
      </c>
      <c r="G116" t="s">
        <v>19</v>
      </c>
      <c r="H116">
        <v>0</v>
      </c>
      <c r="I116">
        <v>7.96</v>
      </c>
      <c r="J116">
        <v>-7.96</v>
      </c>
    </row>
    <row r="117" spans="1:10" x14ac:dyDescent="0.3">
      <c r="A117" s="1">
        <v>45988</v>
      </c>
      <c r="B117" t="s">
        <v>23</v>
      </c>
      <c r="C117" t="s">
        <v>135</v>
      </c>
      <c r="D117" t="s">
        <v>136</v>
      </c>
      <c r="E117" t="s">
        <v>25</v>
      </c>
      <c r="F117" t="s">
        <v>18</v>
      </c>
      <c r="G117" t="s">
        <v>19</v>
      </c>
      <c r="H117">
        <v>7.96</v>
      </c>
      <c r="I117">
        <v>0</v>
      </c>
      <c r="J117">
        <v>7.96</v>
      </c>
    </row>
    <row r="118" spans="1:10" x14ac:dyDescent="0.3">
      <c r="A118" s="1">
        <v>45988</v>
      </c>
      <c r="B118" t="s">
        <v>23</v>
      </c>
      <c r="C118" t="s">
        <v>26</v>
      </c>
      <c r="D118" t="s">
        <v>27</v>
      </c>
      <c r="E118" t="s">
        <v>25</v>
      </c>
      <c r="F118" t="s">
        <v>28</v>
      </c>
      <c r="G118" t="s">
        <v>29</v>
      </c>
      <c r="H118">
        <v>0</v>
      </c>
      <c r="I118">
        <v>7.96</v>
      </c>
      <c r="J118">
        <v>-7.96</v>
      </c>
    </row>
    <row r="119" spans="1:10" x14ac:dyDescent="0.3">
      <c r="A119" s="1">
        <v>45991</v>
      </c>
      <c r="B119" t="s">
        <v>10</v>
      </c>
      <c r="C119" t="s">
        <v>16</v>
      </c>
      <c r="D119" t="s">
        <v>17</v>
      </c>
      <c r="E119" t="s">
        <v>137</v>
      </c>
      <c r="F119" t="s">
        <v>18</v>
      </c>
      <c r="G119" t="s">
        <v>19</v>
      </c>
      <c r="H119">
        <v>0</v>
      </c>
      <c r="I119">
        <v>10.97</v>
      </c>
      <c r="J119">
        <v>-10.97</v>
      </c>
    </row>
    <row r="120" spans="1:10" x14ac:dyDescent="0.3">
      <c r="A120" s="1">
        <v>46001</v>
      </c>
      <c r="B120" t="s">
        <v>23</v>
      </c>
      <c r="C120" t="s">
        <v>16</v>
      </c>
      <c r="D120" t="s">
        <v>138</v>
      </c>
      <c r="E120" t="s">
        <v>25</v>
      </c>
      <c r="F120" t="s">
        <v>18</v>
      </c>
      <c r="G120" t="s">
        <v>19</v>
      </c>
      <c r="H120">
        <v>10.97</v>
      </c>
      <c r="I120">
        <v>0</v>
      </c>
      <c r="J120">
        <v>10.97</v>
      </c>
    </row>
    <row r="121" spans="1:10" x14ac:dyDescent="0.3">
      <c r="A121" s="1">
        <v>46001</v>
      </c>
      <c r="B121" t="s">
        <v>23</v>
      </c>
      <c r="C121" t="s">
        <v>26</v>
      </c>
      <c r="D121" t="s">
        <v>27</v>
      </c>
      <c r="E121" t="s">
        <v>25</v>
      </c>
      <c r="F121" t="s">
        <v>28</v>
      </c>
      <c r="G121" t="s">
        <v>29</v>
      </c>
      <c r="H121">
        <v>0</v>
      </c>
      <c r="I121">
        <v>10.97</v>
      </c>
      <c r="J121">
        <v>-10.97</v>
      </c>
    </row>
    <row r="122" spans="1:10" x14ac:dyDescent="0.3">
      <c r="A122" s="1">
        <v>46022</v>
      </c>
      <c r="B122" t="s">
        <v>10</v>
      </c>
      <c r="C122" t="s">
        <v>16</v>
      </c>
      <c r="D122" t="s">
        <v>17</v>
      </c>
      <c r="E122" t="s">
        <v>139</v>
      </c>
      <c r="F122" t="s">
        <v>18</v>
      </c>
      <c r="G122" t="s">
        <v>19</v>
      </c>
      <c r="H122">
        <v>0</v>
      </c>
      <c r="I122">
        <v>9.9499999999999993</v>
      </c>
      <c r="J122">
        <v>-9.9499999999999993</v>
      </c>
    </row>
    <row r="123" spans="1:10" x14ac:dyDescent="0.3">
      <c r="A123" s="1">
        <v>45658</v>
      </c>
      <c r="B123" t="s">
        <v>140</v>
      </c>
      <c r="C123" t="s">
        <v>26</v>
      </c>
      <c r="D123" t="s">
        <v>141</v>
      </c>
      <c r="F123" t="s">
        <v>28</v>
      </c>
      <c r="G123" t="s">
        <v>29</v>
      </c>
      <c r="H123">
        <v>10.24</v>
      </c>
      <c r="I123">
        <v>0</v>
      </c>
      <c r="J123">
        <v>10.24</v>
      </c>
    </row>
    <row r="124" spans="1:10" x14ac:dyDescent="0.3">
      <c r="A124" s="1" t="s">
        <v>142</v>
      </c>
      <c r="B124" t="s">
        <v>140</v>
      </c>
      <c r="C124" t="s">
        <v>143</v>
      </c>
      <c r="D124" t="s">
        <v>144</v>
      </c>
      <c r="F124" t="s">
        <v>145</v>
      </c>
      <c r="G124" t="s">
        <v>146</v>
      </c>
      <c r="H124">
        <v>0</v>
      </c>
      <c r="I124">
        <v>480</v>
      </c>
      <c r="J124">
        <v>-480</v>
      </c>
    </row>
    <row r="125" spans="1:10" x14ac:dyDescent="0.3">
      <c r="A125" s="1" t="s">
        <v>142</v>
      </c>
      <c r="B125" t="s">
        <v>140</v>
      </c>
      <c r="C125" t="s">
        <v>147</v>
      </c>
      <c r="D125" t="s">
        <v>148</v>
      </c>
      <c r="F125" t="s">
        <v>149</v>
      </c>
      <c r="G125" t="s">
        <v>147</v>
      </c>
      <c r="H125">
        <v>0</v>
      </c>
      <c r="I125">
        <v>1.33</v>
      </c>
      <c r="J125">
        <v>-1.33</v>
      </c>
    </row>
    <row r="126" spans="1:10" x14ac:dyDescent="0.3">
      <c r="A126" s="1">
        <v>45658</v>
      </c>
      <c r="B126" t="s">
        <v>140</v>
      </c>
      <c r="C126" t="s">
        <v>150</v>
      </c>
      <c r="D126" t="s">
        <v>151</v>
      </c>
      <c r="F126" t="s">
        <v>152</v>
      </c>
      <c r="G126" t="s">
        <v>150</v>
      </c>
      <c r="H126">
        <v>469.76</v>
      </c>
      <c r="I126">
        <v>0</v>
      </c>
      <c r="J126">
        <v>471.09</v>
      </c>
    </row>
    <row r="127" spans="1:10" x14ac:dyDescent="0.3">
      <c r="A127" s="1">
        <v>45784</v>
      </c>
      <c r="B127" t="s">
        <v>23</v>
      </c>
      <c r="C127" t="s">
        <v>26</v>
      </c>
      <c r="D127" t="s">
        <v>153</v>
      </c>
      <c r="F127" t="s">
        <v>28</v>
      </c>
      <c r="G127" t="s">
        <v>29</v>
      </c>
      <c r="H127">
        <v>50</v>
      </c>
      <c r="I127">
        <v>0</v>
      </c>
      <c r="J127">
        <v>50</v>
      </c>
    </row>
    <row r="128" spans="1:10" x14ac:dyDescent="0.3">
      <c r="A128" s="1">
        <v>45784</v>
      </c>
      <c r="B128" t="s">
        <v>23</v>
      </c>
      <c r="C128" t="s">
        <v>143</v>
      </c>
      <c r="D128" t="s">
        <v>153</v>
      </c>
      <c r="F128" t="s">
        <v>145</v>
      </c>
      <c r="G128" t="s">
        <v>146</v>
      </c>
      <c r="H128">
        <v>0</v>
      </c>
      <c r="I128">
        <v>50</v>
      </c>
      <c r="J128">
        <v>-50</v>
      </c>
    </row>
    <row r="129" spans="1:10" x14ac:dyDescent="0.3">
      <c r="A129" s="1">
        <v>45667</v>
      </c>
      <c r="B129" t="s">
        <v>23</v>
      </c>
      <c r="C129" t="s">
        <v>26</v>
      </c>
      <c r="D129" t="s">
        <v>154</v>
      </c>
      <c r="F129" t="s">
        <v>28</v>
      </c>
      <c r="G129" t="s">
        <v>29</v>
      </c>
      <c r="H129">
        <v>0</v>
      </c>
      <c r="I129">
        <v>10.24</v>
      </c>
      <c r="J129">
        <v>-10.24</v>
      </c>
    </row>
    <row r="130" spans="1:10" x14ac:dyDescent="0.3">
      <c r="A130" s="1">
        <v>46022</v>
      </c>
      <c r="B130" t="s">
        <v>23</v>
      </c>
      <c r="C130" t="s">
        <v>26</v>
      </c>
      <c r="D130" t="s">
        <v>29</v>
      </c>
      <c r="E130" t="s">
        <v>29</v>
      </c>
      <c r="F130" t="s">
        <v>28</v>
      </c>
      <c r="G130" t="s">
        <v>155</v>
      </c>
      <c r="H130">
        <v>0.03</v>
      </c>
      <c r="I130">
        <v>0</v>
      </c>
      <c r="J130">
        <v>0.03</v>
      </c>
    </row>
    <row r="131" spans="1:10" x14ac:dyDescent="0.3">
      <c r="J131">
        <f>SUM(J2:J130)</f>
        <v>1616.9800000000007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0F6C-28F8-4BFD-B3F4-18A2E56B27CA}">
  <dimension ref="A1:J45"/>
  <sheetViews>
    <sheetView topLeftCell="A28" workbookViewId="0">
      <selection activeCell="J46" sqref="J46"/>
    </sheetView>
  </sheetViews>
  <sheetFormatPr defaultRowHeight="14.4" x14ac:dyDescent="0.3"/>
  <cols>
    <col min="1" max="1" width="10.33203125" style="1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45688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11.11</v>
      </c>
      <c r="I2">
        <v>0</v>
      </c>
      <c r="J2">
        <v>11.11</v>
      </c>
    </row>
    <row r="3" spans="1:10" x14ac:dyDescent="0.3">
      <c r="A3" s="1">
        <v>45716</v>
      </c>
      <c r="B3" t="s">
        <v>10</v>
      </c>
      <c r="C3" t="s">
        <v>11</v>
      </c>
      <c r="D3" t="s">
        <v>12</v>
      </c>
      <c r="E3" t="s">
        <v>20</v>
      </c>
      <c r="F3" t="s">
        <v>14</v>
      </c>
      <c r="G3" t="s">
        <v>15</v>
      </c>
      <c r="H3">
        <v>9.9499999999999993</v>
      </c>
      <c r="I3">
        <v>0</v>
      </c>
      <c r="J3">
        <v>9.9499999999999993</v>
      </c>
    </row>
    <row r="4" spans="1:10" x14ac:dyDescent="0.3">
      <c r="A4" s="1">
        <v>45747</v>
      </c>
      <c r="B4" t="s">
        <v>10</v>
      </c>
      <c r="C4" t="s">
        <v>11</v>
      </c>
      <c r="D4" t="s">
        <v>12</v>
      </c>
      <c r="E4" t="s">
        <v>21</v>
      </c>
      <c r="F4" t="s">
        <v>14</v>
      </c>
      <c r="G4" t="s">
        <v>15</v>
      </c>
      <c r="H4">
        <v>9.9499999999999993</v>
      </c>
      <c r="I4">
        <v>0</v>
      </c>
      <c r="J4">
        <v>9.9499999999999993</v>
      </c>
    </row>
    <row r="5" spans="1:10" x14ac:dyDescent="0.3">
      <c r="A5" s="1">
        <v>45777</v>
      </c>
      <c r="B5" t="s">
        <v>10</v>
      </c>
      <c r="C5" t="s">
        <v>11</v>
      </c>
      <c r="D5" t="s">
        <v>12</v>
      </c>
      <c r="E5" t="s">
        <v>22</v>
      </c>
      <c r="F5" t="s">
        <v>14</v>
      </c>
      <c r="G5" t="s">
        <v>15</v>
      </c>
      <c r="H5">
        <v>9.9499999999999993</v>
      </c>
      <c r="I5">
        <v>0</v>
      </c>
      <c r="J5">
        <v>9.9499999999999993</v>
      </c>
    </row>
    <row r="6" spans="1:10" x14ac:dyDescent="0.3">
      <c r="A6" s="1">
        <v>45786</v>
      </c>
      <c r="B6" t="s">
        <v>10</v>
      </c>
      <c r="C6" t="s">
        <v>11</v>
      </c>
      <c r="D6" t="s">
        <v>34</v>
      </c>
      <c r="E6" t="s">
        <v>35</v>
      </c>
      <c r="F6" t="s">
        <v>36</v>
      </c>
      <c r="G6" t="s">
        <v>37</v>
      </c>
      <c r="H6">
        <v>252</v>
      </c>
      <c r="I6">
        <v>0</v>
      </c>
      <c r="J6">
        <v>252</v>
      </c>
    </row>
    <row r="7" spans="1:10" x14ac:dyDescent="0.3">
      <c r="A7" s="1">
        <v>45792</v>
      </c>
      <c r="B7" t="s">
        <v>10</v>
      </c>
      <c r="C7" t="s">
        <v>11</v>
      </c>
      <c r="D7" t="s">
        <v>46</v>
      </c>
      <c r="E7" t="s">
        <v>47</v>
      </c>
      <c r="F7" t="s">
        <v>48</v>
      </c>
      <c r="G7" t="s">
        <v>49</v>
      </c>
      <c r="H7">
        <v>1612</v>
      </c>
      <c r="I7">
        <v>0</v>
      </c>
      <c r="J7">
        <v>1612</v>
      </c>
    </row>
    <row r="8" spans="1:10" x14ac:dyDescent="0.3">
      <c r="A8" s="1">
        <v>45792</v>
      </c>
      <c r="B8" t="s">
        <v>50</v>
      </c>
      <c r="C8" t="s">
        <v>53</v>
      </c>
      <c r="D8" t="s">
        <v>54</v>
      </c>
      <c r="E8" t="s">
        <v>52</v>
      </c>
      <c r="F8" t="s">
        <v>55</v>
      </c>
      <c r="G8" t="s">
        <v>56</v>
      </c>
      <c r="H8">
        <v>0</v>
      </c>
      <c r="I8">
        <v>2045.2</v>
      </c>
      <c r="J8">
        <v>-2045.2</v>
      </c>
    </row>
    <row r="9" spans="1:10" x14ac:dyDescent="0.3">
      <c r="A9" s="1">
        <v>45799</v>
      </c>
      <c r="B9" t="s">
        <v>10</v>
      </c>
      <c r="C9" t="s">
        <v>11</v>
      </c>
      <c r="D9" t="s">
        <v>46</v>
      </c>
      <c r="E9" t="s">
        <v>60</v>
      </c>
      <c r="F9" t="s">
        <v>48</v>
      </c>
      <c r="G9" t="s">
        <v>49</v>
      </c>
      <c r="H9">
        <v>92.13</v>
      </c>
      <c r="I9">
        <v>0</v>
      </c>
      <c r="J9">
        <v>92.13</v>
      </c>
    </row>
    <row r="10" spans="1:10" x14ac:dyDescent="0.3">
      <c r="A10" s="1">
        <v>45799</v>
      </c>
      <c r="B10" t="s">
        <v>50</v>
      </c>
      <c r="C10" t="s">
        <v>53</v>
      </c>
      <c r="D10" t="s">
        <v>54</v>
      </c>
      <c r="E10" t="s">
        <v>61</v>
      </c>
      <c r="F10" t="s">
        <v>55</v>
      </c>
      <c r="G10" t="s">
        <v>56</v>
      </c>
      <c r="H10">
        <v>0</v>
      </c>
      <c r="I10">
        <v>114.97</v>
      </c>
      <c r="J10">
        <v>-114.97</v>
      </c>
    </row>
    <row r="11" spans="1:10" x14ac:dyDescent="0.3">
      <c r="A11" s="1">
        <v>45808</v>
      </c>
      <c r="B11" t="s">
        <v>10</v>
      </c>
      <c r="C11" t="s">
        <v>11</v>
      </c>
      <c r="D11" t="s">
        <v>12</v>
      </c>
      <c r="E11" t="s">
        <v>62</v>
      </c>
      <c r="F11" t="s">
        <v>14</v>
      </c>
      <c r="G11" t="s">
        <v>15</v>
      </c>
      <c r="H11">
        <v>11.78</v>
      </c>
      <c r="I11">
        <v>0</v>
      </c>
      <c r="J11">
        <v>11.78</v>
      </c>
    </row>
    <row r="12" spans="1:10" x14ac:dyDescent="0.3">
      <c r="A12" s="1">
        <v>45821</v>
      </c>
      <c r="B12" t="s">
        <v>10</v>
      </c>
      <c r="C12" t="s">
        <v>11</v>
      </c>
      <c r="D12" t="s">
        <v>46</v>
      </c>
      <c r="E12" t="s">
        <v>64</v>
      </c>
      <c r="F12" t="s">
        <v>48</v>
      </c>
      <c r="G12" t="s">
        <v>49</v>
      </c>
      <c r="H12">
        <v>57.81</v>
      </c>
      <c r="I12">
        <v>0</v>
      </c>
      <c r="J12">
        <v>57.81</v>
      </c>
    </row>
    <row r="13" spans="1:10" x14ac:dyDescent="0.3">
      <c r="A13" s="1">
        <v>45825</v>
      </c>
      <c r="B13" t="s">
        <v>50</v>
      </c>
      <c r="C13" t="s">
        <v>53</v>
      </c>
      <c r="D13" t="s">
        <v>54</v>
      </c>
      <c r="E13" t="s">
        <v>67</v>
      </c>
      <c r="F13" t="s">
        <v>55</v>
      </c>
      <c r="G13" t="s">
        <v>56</v>
      </c>
      <c r="H13">
        <v>0</v>
      </c>
      <c r="I13">
        <v>59.7</v>
      </c>
      <c r="J13">
        <v>-59.7</v>
      </c>
    </row>
    <row r="14" spans="1:10" x14ac:dyDescent="0.3">
      <c r="A14" s="1">
        <v>45838</v>
      </c>
      <c r="B14" t="s">
        <v>10</v>
      </c>
      <c r="C14" t="s">
        <v>11</v>
      </c>
      <c r="D14" t="s">
        <v>12</v>
      </c>
      <c r="E14" t="s">
        <v>69</v>
      </c>
      <c r="F14" t="s">
        <v>14</v>
      </c>
      <c r="G14" t="s">
        <v>15</v>
      </c>
      <c r="H14">
        <v>10.38</v>
      </c>
      <c r="I14">
        <v>0</v>
      </c>
      <c r="J14">
        <v>10.38</v>
      </c>
    </row>
    <row r="15" spans="1:10" x14ac:dyDescent="0.3">
      <c r="A15" s="1">
        <v>45841</v>
      </c>
      <c r="B15" t="s">
        <v>10</v>
      </c>
      <c r="C15" t="s">
        <v>11</v>
      </c>
      <c r="D15" t="s">
        <v>46</v>
      </c>
      <c r="E15" t="s">
        <v>70</v>
      </c>
      <c r="F15" t="s">
        <v>48</v>
      </c>
      <c r="G15" t="s">
        <v>49</v>
      </c>
      <c r="H15">
        <v>96.25</v>
      </c>
      <c r="I15">
        <v>0</v>
      </c>
      <c r="J15">
        <v>96.25</v>
      </c>
    </row>
    <row r="16" spans="1:10" x14ac:dyDescent="0.3">
      <c r="A16" s="1">
        <v>45841</v>
      </c>
      <c r="B16" t="s">
        <v>50</v>
      </c>
      <c r="C16" t="s">
        <v>53</v>
      </c>
      <c r="D16" t="s">
        <v>54</v>
      </c>
      <c r="E16" t="s">
        <v>72</v>
      </c>
      <c r="F16" t="s">
        <v>55</v>
      </c>
      <c r="G16" t="s">
        <v>56</v>
      </c>
      <c r="H16">
        <v>0</v>
      </c>
      <c r="I16">
        <v>113.4</v>
      </c>
      <c r="J16">
        <v>-113.4</v>
      </c>
    </row>
    <row r="17" spans="1:10" x14ac:dyDescent="0.3">
      <c r="A17" s="1">
        <v>45869</v>
      </c>
      <c r="B17" t="s">
        <v>10</v>
      </c>
      <c r="C17" t="s">
        <v>11</v>
      </c>
      <c r="D17" t="s">
        <v>12</v>
      </c>
      <c r="E17" t="s">
        <v>76</v>
      </c>
      <c r="F17" t="s">
        <v>14</v>
      </c>
      <c r="G17" t="s">
        <v>15</v>
      </c>
      <c r="H17">
        <v>10.54</v>
      </c>
      <c r="I17">
        <v>0</v>
      </c>
      <c r="J17">
        <v>10.54</v>
      </c>
    </row>
    <row r="18" spans="1:10" x14ac:dyDescent="0.3">
      <c r="A18" s="1">
        <v>45896</v>
      </c>
      <c r="B18" t="s">
        <v>10</v>
      </c>
      <c r="C18" t="s">
        <v>11</v>
      </c>
      <c r="D18" t="s">
        <v>46</v>
      </c>
      <c r="E18" t="s">
        <v>80</v>
      </c>
      <c r="F18" t="s">
        <v>48</v>
      </c>
      <c r="G18" t="s">
        <v>49</v>
      </c>
      <c r="H18">
        <v>270</v>
      </c>
      <c r="I18">
        <v>0</v>
      </c>
      <c r="J18">
        <v>270</v>
      </c>
    </row>
    <row r="19" spans="1:10" x14ac:dyDescent="0.3">
      <c r="A19" s="1">
        <v>45896</v>
      </c>
      <c r="B19" t="s">
        <v>50</v>
      </c>
      <c r="C19" t="s">
        <v>53</v>
      </c>
      <c r="D19" t="s">
        <v>54</v>
      </c>
      <c r="E19" t="s">
        <v>81</v>
      </c>
      <c r="F19" t="s">
        <v>55</v>
      </c>
      <c r="G19" t="s">
        <v>56</v>
      </c>
      <c r="H19">
        <v>0</v>
      </c>
      <c r="I19">
        <v>340.2</v>
      </c>
      <c r="J19">
        <v>-340.2</v>
      </c>
    </row>
    <row r="20" spans="1:10" x14ac:dyDescent="0.3">
      <c r="A20" s="1">
        <v>45900</v>
      </c>
      <c r="B20" t="s">
        <v>10</v>
      </c>
      <c r="C20" t="s">
        <v>11</v>
      </c>
      <c r="D20" t="s">
        <v>12</v>
      </c>
      <c r="E20" t="s">
        <v>83</v>
      </c>
      <c r="F20" t="s">
        <v>14</v>
      </c>
      <c r="G20" t="s">
        <v>15</v>
      </c>
      <c r="H20">
        <v>10.38</v>
      </c>
      <c r="I20">
        <v>0</v>
      </c>
      <c r="J20">
        <v>10.38</v>
      </c>
    </row>
    <row r="21" spans="1:10" x14ac:dyDescent="0.3">
      <c r="A21" s="1">
        <v>45904</v>
      </c>
      <c r="B21" t="s">
        <v>10</v>
      </c>
      <c r="C21" t="s">
        <v>11</v>
      </c>
      <c r="D21" t="s">
        <v>34</v>
      </c>
      <c r="E21" t="s">
        <v>85</v>
      </c>
      <c r="F21" t="s">
        <v>36</v>
      </c>
      <c r="G21" t="s">
        <v>37</v>
      </c>
      <c r="H21">
        <v>269</v>
      </c>
      <c r="I21">
        <v>0</v>
      </c>
      <c r="J21">
        <v>269</v>
      </c>
    </row>
    <row r="22" spans="1:10" x14ac:dyDescent="0.3">
      <c r="A22" s="1">
        <v>45908</v>
      </c>
      <c r="B22" t="s">
        <v>10</v>
      </c>
      <c r="C22" t="s">
        <v>11</v>
      </c>
      <c r="D22" t="s">
        <v>46</v>
      </c>
      <c r="E22" t="s">
        <v>86</v>
      </c>
      <c r="F22" t="s">
        <v>48</v>
      </c>
      <c r="G22" t="s">
        <v>49</v>
      </c>
      <c r="H22">
        <v>135</v>
      </c>
      <c r="I22">
        <v>0</v>
      </c>
      <c r="J22">
        <v>135</v>
      </c>
    </row>
    <row r="23" spans="1:10" x14ac:dyDescent="0.3">
      <c r="A23" s="1">
        <v>45909</v>
      </c>
      <c r="B23" t="s">
        <v>50</v>
      </c>
      <c r="C23" t="s">
        <v>53</v>
      </c>
      <c r="D23" t="s">
        <v>54</v>
      </c>
      <c r="E23" t="s">
        <v>88</v>
      </c>
      <c r="F23" t="s">
        <v>55</v>
      </c>
      <c r="G23" t="s">
        <v>56</v>
      </c>
      <c r="H23">
        <v>0</v>
      </c>
      <c r="I23">
        <v>170.1</v>
      </c>
      <c r="J23">
        <v>-170.1</v>
      </c>
    </row>
    <row r="24" spans="1:10" x14ac:dyDescent="0.3">
      <c r="A24" s="1">
        <v>45926</v>
      </c>
      <c r="B24" t="s">
        <v>10</v>
      </c>
      <c r="C24" t="s">
        <v>11</v>
      </c>
      <c r="D24" t="s">
        <v>46</v>
      </c>
      <c r="E24" t="s">
        <v>99</v>
      </c>
      <c r="F24" t="s">
        <v>48</v>
      </c>
      <c r="G24" t="s">
        <v>49</v>
      </c>
      <c r="H24">
        <v>527.35</v>
      </c>
      <c r="I24">
        <v>0</v>
      </c>
      <c r="J24">
        <v>527.35</v>
      </c>
    </row>
    <row r="25" spans="1:10" x14ac:dyDescent="0.3">
      <c r="A25" s="1">
        <v>45926</v>
      </c>
      <c r="B25" t="s">
        <v>50</v>
      </c>
      <c r="C25" t="s">
        <v>53</v>
      </c>
      <c r="D25" t="s">
        <v>54</v>
      </c>
      <c r="E25" t="s">
        <v>100</v>
      </c>
      <c r="F25" t="s">
        <v>55</v>
      </c>
      <c r="G25" t="s">
        <v>56</v>
      </c>
      <c r="H25">
        <v>0</v>
      </c>
      <c r="I25">
        <v>641.25</v>
      </c>
      <c r="J25">
        <v>-641.25</v>
      </c>
    </row>
    <row r="26" spans="1:10" x14ac:dyDescent="0.3">
      <c r="A26" s="1">
        <v>45930</v>
      </c>
      <c r="B26" t="s">
        <v>10</v>
      </c>
      <c r="C26" t="s">
        <v>11</v>
      </c>
      <c r="D26" t="s">
        <v>12</v>
      </c>
      <c r="E26" t="s">
        <v>101</v>
      </c>
      <c r="F26" t="s">
        <v>14</v>
      </c>
      <c r="G26" t="s">
        <v>15</v>
      </c>
      <c r="H26">
        <v>11.78</v>
      </c>
      <c r="I26">
        <v>0</v>
      </c>
      <c r="J26">
        <v>11.78</v>
      </c>
    </row>
    <row r="27" spans="1:10" x14ac:dyDescent="0.3">
      <c r="A27" s="1">
        <v>45946</v>
      </c>
      <c r="B27" t="s">
        <v>10</v>
      </c>
      <c r="C27" t="s">
        <v>11</v>
      </c>
      <c r="D27" t="s">
        <v>46</v>
      </c>
      <c r="E27" t="s">
        <v>104</v>
      </c>
      <c r="F27" t="s">
        <v>48</v>
      </c>
      <c r="G27" t="s">
        <v>49</v>
      </c>
      <c r="H27">
        <v>141.25</v>
      </c>
      <c r="I27">
        <v>0</v>
      </c>
      <c r="J27">
        <v>141.25</v>
      </c>
    </row>
    <row r="28" spans="1:10" x14ac:dyDescent="0.3">
      <c r="A28" s="1">
        <v>45946</v>
      </c>
      <c r="B28" t="s">
        <v>10</v>
      </c>
      <c r="C28" t="s">
        <v>11</v>
      </c>
      <c r="D28" t="s">
        <v>46</v>
      </c>
      <c r="E28" t="s">
        <v>105</v>
      </c>
      <c r="F28" t="s">
        <v>48</v>
      </c>
      <c r="G28" t="s">
        <v>49</v>
      </c>
      <c r="H28">
        <v>182.5</v>
      </c>
      <c r="I28">
        <v>0</v>
      </c>
      <c r="J28">
        <v>182.5</v>
      </c>
    </row>
    <row r="29" spans="1:10" x14ac:dyDescent="0.3">
      <c r="A29" s="1">
        <v>45946</v>
      </c>
      <c r="B29" t="s">
        <v>10</v>
      </c>
      <c r="C29" t="s">
        <v>11</v>
      </c>
      <c r="D29" t="s">
        <v>46</v>
      </c>
      <c r="E29" t="s">
        <v>106</v>
      </c>
      <c r="F29" t="s">
        <v>48</v>
      </c>
      <c r="G29" t="s">
        <v>49</v>
      </c>
      <c r="H29">
        <v>602.35</v>
      </c>
      <c r="I29">
        <v>0</v>
      </c>
      <c r="J29">
        <v>602.35</v>
      </c>
    </row>
    <row r="30" spans="1:10" x14ac:dyDescent="0.3">
      <c r="A30" s="1">
        <v>45946</v>
      </c>
      <c r="B30" t="s">
        <v>10</v>
      </c>
      <c r="C30" t="s">
        <v>11</v>
      </c>
      <c r="D30" t="s">
        <v>46</v>
      </c>
      <c r="E30" t="s">
        <v>107</v>
      </c>
      <c r="F30" t="s">
        <v>48</v>
      </c>
      <c r="G30" t="s">
        <v>49</v>
      </c>
      <c r="H30">
        <v>5972.09</v>
      </c>
      <c r="I30">
        <v>0</v>
      </c>
      <c r="J30">
        <v>5972.09</v>
      </c>
    </row>
    <row r="31" spans="1:10" x14ac:dyDescent="0.3">
      <c r="A31" s="1">
        <v>45947</v>
      </c>
      <c r="B31" t="s">
        <v>50</v>
      </c>
      <c r="C31" t="s">
        <v>53</v>
      </c>
      <c r="D31" t="s">
        <v>54</v>
      </c>
      <c r="E31" t="s">
        <v>110</v>
      </c>
      <c r="F31" t="s">
        <v>55</v>
      </c>
      <c r="G31" t="s">
        <v>56</v>
      </c>
      <c r="H31">
        <v>0</v>
      </c>
      <c r="I31">
        <v>173</v>
      </c>
      <c r="J31">
        <v>-173</v>
      </c>
    </row>
    <row r="32" spans="1:10" x14ac:dyDescent="0.3">
      <c r="A32" s="1">
        <v>45948</v>
      </c>
      <c r="B32" t="s">
        <v>50</v>
      </c>
      <c r="C32" t="s">
        <v>53</v>
      </c>
      <c r="D32" t="s">
        <v>54</v>
      </c>
      <c r="E32" t="s">
        <v>112</v>
      </c>
      <c r="F32" t="s">
        <v>55</v>
      </c>
      <c r="G32" t="s">
        <v>56</v>
      </c>
      <c r="H32">
        <v>0</v>
      </c>
      <c r="I32">
        <v>8360.86</v>
      </c>
      <c r="J32">
        <v>-8360.86</v>
      </c>
    </row>
    <row r="33" spans="1:10" x14ac:dyDescent="0.3">
      <c r="A33" s="1">
        <v>45957</v>
      </c>
      <c r="B33" t="s">
        <v>10</v>
      </c>
      <c r="C33" t="s">
        <v>11</v>
      </c>
      <c r="D33" t="s">
        <v>114</v>
      </c>
      <c r="E33" t="s">
        <v>115</v>
      </c>
      <c r="F33" t="s">
        <v>36</v>
      </c>
      <c r="G33" t="s">
        <v>37</v>
      </c>
      <c r="H33">
        <v>7</v>
      </c>
      <c r="I33">
        <v>0</v>
      </c>
      <c r="J33">
        <v>7</v>
      </c>
    </row>
    <row r="34" spans="1:10" x14ac:dyDescent="0.3">
      <c r="A34" s="1">
        <v>45957</v>
      </c>
      <c r="B34" t="s">
        <v>10</v>
      </c>
      <c r="C34" t="s">
        <v>11</v>
      </c>
      <c r="D34" t="s">
        <v>46</v>
      </c>
      <c r="E34" t="s">
        <v>117</v>
      </c>
      <c r="F34" t="s">
        <v>48</v>
      </c>
      <c r="G34" t="s">
        <v>49</v>
      </c>
      <c r="H34">
        <v>62.5</v>
      </c>
      <c r="I34">
        <v>0</v>
      </c>
      <c r="J34">
        <v>62.5</v>
      </c>
    </row>
    <row r="35" spans="1:10" x14ac:dyDescent="0.3">
      <c r="A35" s="1">
        <v>45959</v>
      </c>
      <c r="B35" t="s">
        <v>50</v>
      </c>
      <c r="C35" t="s">
        <v>53</v>
      </c>
      <c r="D35" t="s">
        <v>54</v>
      </c>
      <c r="E35" t="s">
        <v>120</v>
      </c>
      <c r="F35" t="s">
        <v>55</v>
      </c>
      <c r="G35" t="s">
        <v>56</v>
      </c>
      <c r="H35">
        <v>0</v>
      </c>
      <c r="I35">
        <v>75</v>
      </c>
      <c r="J35">
        <v>-75</v>
      </c>
    </row>
    <row r="36" spans="1:10" x14ac:dyDescent="0.3">
      <c r="A36" s="1">
        <v>45961</v>
      </c>
      <c r="B36" t="s">
        <v>10</v>
      </c>
      <c r="C36" t="s">
        <v>11</v>
      </c>
      <c r="D36" t="s">
        <v>12</v>
      </c>
      <c r="E36" t="s">
        <v>121</v>
      </c>
      <c r="F36" t="s">
        <v>14</v>
      </c>
      <c r="G36" t="s">
        <v>15</v>
      </c>
      <c r="H36">
        <v>10.97</v>
      </c>
      <c r="I36">
        <v>0</v>
      </c>
      <c r="J36">
        <v>10.97</v>
      </c>
    </row>
    <row r="37" spans="1:10" x14ac:dyDescent="0.3">
      <c r="A37" s="1">
        <v>45985</v>
      </c>
      <c r="B37" t="s">
        <v>10</v>
      </c>
      <c r="C37" t="s">
        <v>11</v>
      </c>
      <c r="D37" t="s">
        <v>46</v>
      </c>
      <c r="E37" t="s">
        <v>123</v>
      </c>
      <c r="F37" t="s">
        <v>48</v>
      </c>
      <c r="G37" t="s">
        <v>49</v>
      </c>
      <c r="H37">
        <v>342</v>
      </c>
      <c r="I37">
        <v>0</v>
      </c>
      <c r="J37">
        <v>342</v>
      </c>
    </row>
    <row r="38" spans="1:10" x14ac:dyDescent="0.3">
      <c r="A38" s="1">
        <v>45986</v>
      </c>
      <c r="B38" t="s">
        <v>50</v>
      </c>
      <c r="C38" t="s">
        <v>53</v>
      </c>
      <c r="D38" t="s">
        <v>54</v>
      </c>
      <c r="E38" t="s">
        <v>126</v>
      </c>
      <c r="F38" t="s">
        <v>55</v>
      </c>
      <c r="G38" t="s">
        <v>56</v>
      </c>
      <c r="H38">
        <v>0</v>
      </c>
      <c r="I38">
        <v>432</v>
      </c>
      <c r="J38">
        <v>-432</v>
      </c>
    </row>
    <row r="39" spans="1:10" x14ac:dyDescent="0.3">
      <c r="A39" s="1">
        <v>45987</v>
      </c>
      <c r="B39" t="s">
        <v>10</v>
      </c>
      <c r="C39" t="s">
        <v>11</v>
      </c>
      <c r="D39" t="s">
        <v>128</v>
      </c>
      <c r="E39" t="s">
        <v>129</v>
      </c>
      <c r="F39" t="s">
        <v>36</v>
      </c>
      <c r="G39" t="s">
        <v>37</v>
      </c>
      <c r="H39">
        <v>141.59</v>
      </c>
      <c r="I39">
        <v>0</v>
      </c>
      <c r="J39">
        <v>141.59</v>
      </c>
    </row>
    <row r="40" spans="1:10" x14ac:dyDescent="0.3">
      <c r="A40" s="1">
        <v>45988</v>
      </c>
      <c r="B40" t="s">
        <v>10</v>
      </c>
      <c r="C40" t="s">
        <v>11</v>
      </c>
      <c r="D40" t="s">
        <v>132</v>
      </c>
      <c r="F40" t="s">
        <v>133</v>
      </c>
      <c r="G40" t="s">
        <v>134</v>
      </c>
      <c r="H40">
        <v>7.96</v>
      </c>
      <c r="I40">
        <v>0</v>
      </c>
      <c r="J40">
        <v>7.96</v>
      </c>
    </row>
    <row r="41" spans="1:10" x14ac:dyDescent="0.3">
      <c r="A41" s="1">
        <v>45991</v>
      </c>
      <c r="B41" t="s">
        <v>10</v>
      </c>
      <c r="C41" t="s">
        <v>11</v>
      </c>
      <c r="D41" t="s">
        <v>12</v>
      </c>
      <c r="E41" t="s">
        <v>137</v>
      </c>
      <c r="F41" t="s">
        <v>14</v>
      </c>
      <c r="G41" t="s">
        <v>15</v>
      </c>
      <c r="H41">
        <v>10.97</v>
      </c>
      <c r="I41">
        <v>0</v>
      </c>
      <c r="J41">
        <v>10.97</v>
      </c>
    </row>
    <row r="42" spans="1:10" x14ac:dyDescent="0.3">
      <c r="A42" s="1">
        <v>46022</v>
      </c>
      <c r="B42" t="s">
        <v>10</v>
      </c>
      <c r="C42" t="s">
        <v>11</v>
      </c>
      <c r="D42" t="s">
        <v>12</v>
      </c>
      <c r="E42" t="s">
        <v>139</v>
      </c>
      <c r="F42" t="s">
        <v>14</v>
      </c>
      <c r="G42" t="s">
        <v>15</v>
      </c>
      <c r="H42">
        <v>9.9499999999999993</v>
      </c>
      <c r="I42">
        <v>0</v>
      </c>
      <c r="J42">
        <v>9.9499999999999993</v>
      </c>
    </row>
    <row r="43" spans="1:10" x14ac:dyDescent="0.3">
      <c r="A43" s="1">
        <v>45667</v>
      </c>
      <c r="B43" t="s">
        <v>23</v>
      </c>
      <c r="C43" t="s">
        <v>11</v>
      </c>
      <c r="D43" t="s">
        <v>12</v>
      </c>
      <c r="F43" t="s">
        <v>14</v>
      </c>
      <c r="G43" t="s">
        <v>15</v>
      </c>
      <c r="H43">
        <v>10.24</v>
      </c>
      <c r="I43">
        <v>0</v>
      </c>
      <c r="J43">
        <v>10.24</v>
      </c>
    </row>
    <row r="44" spans="1:10" x14ac:dyDescent="0.3">
      <c r="A44" s="1">
        <v>46022</v>
      </c>
      <c r="B44" t="s">
        <v>23</v>
      </c>
      <c r="C44" t="s">
        <v>155</v>
      </c>
      <c r="D44" t="s">
        <v>155</v>
      </c>
      <c r="E44" t="s">
        <v>25</v>
      </c>
      <c r="F44" t="s">
        <v>156</v>
      </c>
      <c r="G44" t="s">
        <v>155</v>
      </c>
      <c r="H44">
        <v>0</v>
      </c>
      <c r="I44">
        <v>0.03</v>
      </c>
      <c r="J44">
        <v>-0.03</v>
      </c>
    </row>
    <row r="45" spans="1:10" x14ac:dyDescent="0.3">
      <c r="J45">
        <f>SUM(J2:J44)</f>
        <v>-1616.98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Dnevnik knjiženja</vt:lpstr>
      <vt:lpstr>Početno stanje</vt:lpstr>
      <vt:lpstr>Bruto bilanca</vt:lpstr>
      <vt:lpstr>Bilanca</vt:lpstr>
      <vt:lpstr>RDG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Zlatka Ancic Botica</dc:creator>
  <cp:lastModifiedBy>Zlatka Ancic Botica</cp:lastModifiedBy>
  <dcterms:created xsi:type="dcterms:W3CDTF">2026-01-18T13:26:51Z</dcterms:created>
  <dcterms:modified xsi:type="dcterms:W3CDTF">2026-01-18T13:44:13Z</dcterms:modified>
</cp:coreProperties>
</file>